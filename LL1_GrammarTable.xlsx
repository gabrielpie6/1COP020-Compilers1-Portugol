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4519c66ae4243b/Codes/Compilers1/T1/"/>
    </mc:Choice>
  </mc:AlternateContent>
  <xr:revisionPtr revIDLastSave="241" documentId="8_{936C9265-86C8-4B38-A526-30ADCF32F8C8}" xr6:coauthVersionLast="47" xr6:coauthVersionMax="47" xr10:uidLastSave="{C21AA7A2-A3FD-4CE7-8AB3-2A720B36483C}"/>
  <bookViews>
    <workbookView xWindow="-90" yWindow="0" windowWidth="9780" windowHeight="10170" activeTab="3" xr2:uid="{3E09A380-1B27-4448-8CF0-54497541E24D}"/>
  </bookViews>
  <sheets>
    <sheet name="Planilha1" sheetId="1" r:id="rId1"/>
    <sheet name="LL1 Parser Table" sheetId="2" r:id="rId2"/>
    <sheet name="Format1" sheetId="3" r:id="rId3"/>
    <sheet name="Labels" sheetId="4" r:id="rId4"/>
    <sheet name="Format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4" l="1"/>
  <c r="C81" i="4"/>
  <c r="B82" i="4"/>
  <c r="C82" i="4"/>
  <c r="B79" i="4"/>
  <c r="C79" i="4"/>
  <c r="B80" i="4"/>
  <c r="C80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C45" i="4"/>
  <c r="B45" i="4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H3" i="5"/>
  <c r="I3" i="5"/>
  <c r="J3" i="5"/>
  <c r="K3" i="5"/>
  <c r="L3" i="5"/>
  <c r="H4" i="5"/>
  <c r="I4" i="5"/>
  <c r="J4" i="5"/>
  <c r="K4" i="5"/>
  <c r="L4" i="5"/>
  <c r="H5" i="5"/>
  <c r="I5" i="5"/>
  <c r="J5" i="5"/>
  <c r="K5" i="5"/>
  <c r="L5" i="5"/>
  <c r="H6" i="5"/>
  <c r="I6" i="5"/>
  <c r="J6" i="5"/>
  <c r="K6" i="5"/>
  <c r="L6" i="5"/>
  <c r="H7" i="5"/>
  <c r="I7" i="5"/>
  <c r="J7" i="5"/>
  <c r="K7" i="5"/>
  <c r="L7" i="5"/>
  <c r="H8" i="5"/>
  <c r="I8" i="5"/>
  <c r="J8" i="5"/>
  <c r="K8" i="5"/>
  <c r="L8" i="5"/>
  <c r="H9" i="5"/>
  <c r="I9" i="5"/>
  <c r="J9" i="5"/>
  <c r="K9" i="5"/>
  <c r="L9" i="5"/>
  <c r="H10" i="5"/>
  <c r="I10" i="5"/>
  <c r="J10" i="5"/>
  <c r="K10" i="5"/>
  <c r="L10" i="5"/>
  <c r="H11" i="5"/>
  <c r="I11" i="5"/>
  <c r="J11" i="5"/>
  <c r="K11" i="5"/>
  <c r="L11" i="5"/>
  <c r="H12" i="5"/>
  <c r="I12" i="5"/>
  <c r="J12" i="5"/>
  <c r="K12" i="5"/>
  <c r="L12" i="5"/>
  <c r="H13" i="5"/>
  <c r="I13" i="5"/>
  <c r="J13" i="5"/>
  <c r="K13" i="5"/>
  <c r="L13" i="5"/>
  <c r="H14" i="5"/>
  <c r="I14" i="5"/>
  <c r="J14" i="5"/>
  <c r="K14" i="5"/>
  <c r="L14" i="5"/>
  <c r="H15" i="5"/>
  <c r="I15" i="5"/>
  <c r="J15" i="5"/>
  <c r="K15" i="5"/>
  <c r="L15" i="5"/>
  <c r="H16" i="5"/>
  <c r="I16" i="5"/>
  <c r="J16" i="5"/>
  <c r="K16" i="5"/>
  <c r="L16" i="5"/>
  <c r="H17" i="5"/>
  <c r="I17" i="5"/>
  <c r="J17" i="5"/>
  <c r="K17" i="5"/>
  <c r="L17" i="5"/>
  <c r="H18" i="5"/>
  <c r="I18" i="5"/>
  <c r="J18" i="5"/>
  <c r="K18" i="5"/>
  <c r="L18" i="5"/>
  <c r="H19" i="5"/>
  <c r="I19" i="5"/>
  <c r="J19" i="5"/>
  <c r="K19" i="5"/>
  <c r="L19" i="5"/>
  <c r="H20" i="5"/>
  <c r="I20" i="5"/>
  <c r="J20" i="5"/>
  <c r="K20" i="5"/>
  <c r="L20" i="5"/>
  <c r="H21" i="5"/>
  <c r="I21" i="5"/>
  <c r="J21" i="5"/>
  <c r="K21" i="5"/>
  <c r="L21" i="5"/>
  <c r="H22" i="5"/>
  <c r="I22" i="5"/>
  <c r="J22" i="5"/>
  <c r="K22" i="5"/>
  <c r="L22" i="5"/>
  <c r="H23" i="5"/>
  <c r="I23" i="5"/>
  <c r="J23" i="5"/>
  <c r="K23" i="5"/>
  <c r="L23" i="5"/>
  <c r="H24" i="5"/>
  <c r="I24" i="5"/>
  <c r="J24" i="5"/>
  <c r="K24" i="5"/>
  <c r="L24" i="5"/>
  <c r="H25" i="5"/>
  <c r="I25" i="5"/>
  <c r="J25" i="5"/>
  <c r="K25" i="5"/>
  <c r="L25" i="5"/>
  <c r="H26" i="5"/>
  <c r="I26" i="5"/>
  <c r="J26" i="5"/>
  <c r="K26" i="5"/>
  <c r="L26" i="5"/>
  <c r="H27" i="5"/>
  <c r="I27" i="5"/>
  <c r="J27" i="5"/>
  <c r="K27" i="5"/>
  <c r="L27" i="5"/>
  <c r="H28" i="5"/>
  <c r="I28" i="5"/>
  <c r="J28" i="5"/>
  <c r="K28" i="5"/>
  <c r="L28" i="5"/>
  <c r="H29" i="5"/>
  <c r="I29" i="5"/>
  <c r="J29" i="5"/>
  <c r="K29" i="5"/>
  <c r="L29" i="5"/>
  <c r="H30" i="5"/>
  <c r="I30" i="5"/>
  <c r="J30" i="5"/>
  <c r="K30" i="5"/>
  <c r="L30" i="5"/>
  <c r="H31" i="5"/>
  <c r="I31" i="5"/>
  <c r="J31" i="5"/>
  <c r="K31" i="5"/>
  <c r="L31" i="5"/>
  <c r="H32" i="5"/>
  <c r="I32" i="5"/>
  <c r="J32" i="5"/>
  <c r="K32" i="5"/>
  <c r="L32" i="5"/>
  <c r="H33" i="5"/>
  <c r="I33" i="5"/>
  <c r="J33" i="5"/>
  <c r="K33" i="5"/>
  <c r="L33" i="5"/>
  <c r="H34" i="5"/>
  <c r="I34" i="5"/>
  <c r="J34" i="5"/>
  <c r="K34" i="5"/>
  <c r="L34" i="5"/>
  <c r="H35" i="5"/>
  <c r="I35" i="5"/>
  <c r="J35" i="5"/>
  <c r="K35" i="5"/>
  <c r="L35" i="5"/>
  <c r="H36" i="5"/>
  <c r="I36" i="5"/>
  <c r="J36" i="5"/>
  <c r="K36" i="5"/>
  <c r="L36" i="5"/>
  <c r="H37" i="5"/>
  <c r="I37" i="5"/>
  <c r="J37" i="5"/>
  <c r="K37" i="5"/>
  <c r="L37" i="5"/>
  <c r="H38" i="5"/>
  <c r="I38" i="5"/>
  <c r="J38" i="5"/>
  <c r="K38" i="5"/>
  <c r="L38" i="5"/>
  <c r="H39" i="5"/>
  <c r="I39" i="5"/>
  <c r="J39" i="5"/>
  <c r="K39" i="5"/>
  <c r="L39" i="5"/>
  <c r="H40" i="5"/>
  <c r="I40" i="5"/>
  <c r="J40" i="5"/>
  <c r="K40" i="5"/>
  <c r="L40" i="5"/>
  <c r="D3" i="5"/>
  <c r="E3" i="5"/>
  <c r="F3" i="5"/>
  <c r="G3" i="5"/>
  <c r="D4" i="5"/>
  <c r="E4" i="5"/>
  <c r="F4" i="5"/>
  <c r="G4" i="5"/>
  <c r="D5" i="5"/>
  <c r="E5" i="5"/>
  <c r="F5" i="5"/>
  <c r="G5" i="5"/>
  <c r="D6" i="5"/>
  <c r="E6" i="5"/>
  <c r="F6" i="5"/>
  <c r="G6" i="5"/>
  <c r="D7" i="5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G26" i="5"/>
  <c r="D27" i="5"/>
  <c r="E27" i="5"/>
  <c r="F27" i="5"/>
  <c r="G27" i="5"/>
  <c r="D28" i="5"/>
  <c r="E28" i="5"/>
  <c r="F28" i="5"/>
  <c r="G28" i="5"/>
  <c r="D29" i="5"/>
  <c r="E29" i="5"/>
  <c r="F29" i="5"/>
  <c r="G29" i="5"/>
  <c r="D30" i="5"/>
  <c r="E30" i="5"/>
  <c r="F30" i="5"/>
  <c r="G30" i="5"/>
  <c r="D31" i="5"/>
  <c r="E31" i="5"/>
  <c r="F31" i="5"/>
  <c r="G31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D38" i="5"/>
  <c r="E38" i="5"/>
  <c r="F38" i="5"/>
  <c r="G38" i="5"/>
  <c r="D39" i="5"/>
  <c r="E39" i="5"/>
  <c r="F39" i="5"/>
  <c r="G39" i="5"/>
  <c r="D40" i="5"/>
  <c r="E40" i="5"/>
  <c r="F40" i="5"/>
  <c r="G40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3" i="5"/>
  <c r="A3" i="5" a="1"/>
  <c r="A3" i="5" s="1"/>
  <c r="C1" i="5" a="1"/>
  <c r="C1" i="5" s="1"/>
  <c r="C2" i="5"/>
  <c r="BD2" i="5"/>
  <c r="BE2" i="5"/>
  <c r="BB2" i="5"/>
  <c r="BC2" i="5"/>
  <c r="AZ2" i="5"/>
  <c r="BA2" i="5"/>
  <c r="AW2" i="5"/>
  <c r="AX2" i="5"/>
  <c r="AY2" i="5"/>
  <c r="AS2" i="5"/>
  <c r="AT2" i="5"/>
  <c r="AU2" i="5"/>
  <c r="AK2" i="5"/>
  <c r="AL2" i="5"/>
  <c r="AM2" i="5"/>
  <c r="AN2" i="5"/>
  <c r="AO2" i="5"/>
  <c r="AP2" i="5"/>
  <c r="AQ2" i="5"/>
  <c r="AR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D2" i="5"/>
  <c r="E2" i="5"/>
  <c r="F2" i="5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2" i="3"/>
  <c r="BE1" i="3"/>
  <c r="BD1" i="3"/>
  <c r="AV1" i="3"/>
  <c r="AW1" i="3"/>
  <c r="AX1" i="3"/>
  <c r="AY1" i="3"/>
  <c r="AZ1" i="3"/>
  <c r="BA1" i="3"/>
  <c r="BB1" i="3"/>
  <c r="BC1" i="3"/>
  <c r="AN1" i="3"/>
  <c r="AO1" i="3"/>
  <c r="AP1" i="3"/>
  <c r="AQ1" i="3"/>
  <c r="AR1" i="3"/>
  <c r="AS1" i="3"/>
  <c r="AT1" i="3"/>
  <c r="AU1" i="3"/>
  <c r="AJ1" i="3"/>
  <c r="AK1" i="3"/>
  <c r="AL1" i="3"/>
  <c r="AM1" i="3"/>
  <c r="AD1" i="3"/>
  <c r="AE1" i="3"/>
  <c r="AF1" i="3"/>
  <c r="AG1" i="3"/>
  <c r="AH1" i="3"/>
  <c r="AI1" i="3"/>
  <c r="W1" i="3"/>
  <c r="X1" i="3"/>
  <c r="Y1" i="3"/>
  <c r="Z1" i="3"/>
  <c r="AA1" i="3"/>
  <c r="AB1" i="3"/>
  <c r="AC1" i="3"/>
  <c r="Q1" i="3"/>
  <c r="R1" i="3"/>
  <c r="S1" i="3"/>
  <c r="T1" i="3"/>
  <c r="U1" i="3"/>
  <c r="V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B39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<sst xmlns="http://schemas.openxmlformats.org/spreadsheetml/2006/main" count="838" uniqueCount="296">
  <si>
    <t>Símbolos não terminais original</t>
  </si>
  <si>
    <t>Escolhido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</si>
  <si>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</si>
  <si>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</si>
  <si>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</si>
  <si>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</si>
  <si>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</si>
  <si>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</si>
  <si>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</si>
  <si>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</si>
  <si>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</si>
  <si>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</si>
  <si>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</si>
  <si>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</si>
  <si>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</si>
  <si>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</si>
  <si>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</si>
  <si>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</si>
  <si>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</si>
  <si>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</si>
  <si>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</si>
  <si>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</si>
  <si>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</si>
  <si>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</si>
  <si>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</si>
  <si>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Programa</t>
  </si>
  <si>
    <t>BlocoVariaveis</t>
  </si>
  <si>
    <t>BlocoComandos</t>
  </si>
  <si>
    <t>ProcedimentoFuncao</t>
  </si>
  <si>
    <t>DeclaraProcedimento</t>
  </si>
  <si>
    <t>DeclaraFuncao</t>
  </si>
  <si>
    <t>Parametros</t>
  </si>
  <si>
    <t>DeclaraParametros</t>
  </si>
  <si>
    <t>DeclaraIdentificador</t>
  </si>
  <si>
    <t>Declaracoes</t>
  </si>
  <si>
    <t>DeclaraVariaveis</t>
  </si>
  <si>
    <t>DeclaraTipo</t>
  </si>
  <si>
    <t>VetorMatriz</t>
  </si>
  <si>
    <t>Dimensao</t>
  </si>
  <si>
    <t>TipoBasico</t>
  </si>
  <si>
    <t>ListaComandos</t>
  </si>
  <si>
    <t>Comandos</t>
  </si>
  <si>
    <t>ExprIter</t>
  </si>
  <si>
    <t>Variavel</t>
  </si>
  <si>
    <t>Expressao</t>
  </si>
  <si>
    <t>ExpressaoSimples</t>
  </si>
  <si>
    <t>Termo</t>
  </si>
  <si>
    <t>Fator</t>
  </si>
  <si>
    <t>Símbolos terminais originais</t>
  </si>
  <si>
    <t>algoritmo</t>
  </si>
  <si>
    <t>inicio</t>
  </si>
  <si>
    <t>fim</t>
  </si>
  <si>
    <t>variaveis</t>
  </si>
  <si>
    <t>inteiro</t>
  </si>
  <si>
    <t>real</t>
  </si>
  <si>
    <t>caractere</t>
  </si>
  <si>
    <t>logico</t>
  </si>
  <si>
    <t>vetor</t>
  </si>
  <si>
    <t>matriz</t>
  </si>
  <si>
    <t>tipo</t>
  </si>
  <si>
    <t>funcao</t>
  </si>
  <si>
    <t>procedimento</t>
  </si>
  <si>
    <t>se</t>
  </si>
  <si>
    <t>entao</t>
  </si>
  <si>
    <t>senao</t>
  </si>
  <si>
    <t>enquanto</t>
  </si>
  <si>
    <t>faca</t>
  </si>
  <si>
    <t>para</t>
  </si>
  <si>
    <t>de</t>
  </si>
  <si>
    <t>ate</t>
  </si>
  <si>
    <t>passo</t>
  </si>
  <si>
    <t>repita</t>
  </si>
  <si>
    <t>leia</t>
  </si>
  <si>
    <t>imprima</t>
  </si>
  <si>
    <t>e</t>
  </si>
  <si>
    <t>ou</t>
  </si>
  <si>
    <t>não</t>
  </si>
  <si>
    <t>div</t>
  </si>
  <si>
    <t>&lt;&gt;</t>
  </si>
  <si>
    <t>&gt;=</t>
  </si>
  <si>
    <t>&lt;=</t>
  </si>
  <si>
    <t>&lt;-</t>
  </si>
  <si>
    <t>a</t>
  </si>
  <si>
    <t>i</t>
  </si>
  <si>
    <t>f</t>
  </si>
  <si>
    <t>v</t>
  </si>
  <si>
    <t>r</t>
  </si>
  <si>
    <t>c</t>
  </si>
  <si>
    <t>l</t>
  </si>
  <si>
    <t>m</t>
  </si>
  <si>
    <t>t</t>
  </si>
  <si>
    <t>p</t>
  </si>
  <si>
    <t>s</t>
  </si>
  <si>
    <t>d</t>
  </si>
  <si>
    <t>o</t>
  </si>
  <si>
    <t>n</t>
  </si>
  <si>
    <t>&lt;</t>
  </si>
  <si>
    <t>&gt;</t>
  </si>
  <si>
    <t>b</t>
  </si>
  <si>
    <t>g</t>
  </si>
  <si>
    <t>h</t>
  </si>
  <si>
    <t>j</t>
  </si>
  <si>
    <t>k</t>
  </si>
  <si>
    <t>q</t>
  </si>
  <si>
    <t>u</t>
  </si>
  <si>
    <t>w</t>
  </si>
  <si>
    <t>x</t>
  </si>
  <si>
    <t>y</t>
  </si>
  <si>
    <t>z</t>
  </si>
  <si>
    <t>;</t>
  </si>
  <si>
    <t>,</t>
  </si>
  <si>
    <t>:</t>
  </si>
  <si>
    <t>.</t>
  </si>
  <si>
    <t>[</t>
  </si>
  <si>
    <t>]</t>
  </si>
  <si>
    <t>(</t>
  </si>
  <si>
    <t>)</t>
  </si>
  <si>
    <t>=</t>
  </si>
  <si>
    <t>+</t>
  </si>
  <si>
    <t>-</t>
  </si>
  <si>
    <t>*</t>
  </si>
  <si>
    <t>/</t>
  </si>
  <si>
    <t>identificador</t>
  </si>
  <si>
    <t>numero_inteiro</t>
  </si>
  <si>
    <t>numero_real</t>
  </si>
  <si>
    <t>string</t>
  </si>
  <si>
    <t>#</t>
  </si>
  <si>
    <t>!</t>
  </si>
  <si>
    <t>@</t>
  </si>
  <si>
    <t>X</t>
  </si>
  <si>
    <t>Y</t>
  </si>
  <si>
    <t>Z</t>
  </si>
  <si>
    <t>FIRST</t>
  </si>
  <si>
    <t>FOLLOW</t>
  </si>
  <si>
    <t>Nonterminal</t>
  </si>
  <si>
    <t>nao</t>
  </si>
  <si>
    <t>$</t>
  </si>
  <si>
    <t>{algoritmo}</t>
  </si>
  <si>
    <t>{$}</t>
  </si>
  <si>
    <t>Programa -&gt; algoritmo identificador ; BlocoVariaveis ProcedimentoFuncao BlocoComandos .</t>
  </si>
  <si>
    <t>{'',procedimento,funcao}</t>
  </si>
  <si>
    <t>{inicio}</t>
  </si>
  <si>
    <t>ProcedimentoFuncao -&gt; DeclaraProcedimento ProcedimentoFuncao</t>
  </si>
  <si>
    <t>ProcedimentoFuncao -&gt; DeclaraFuncao ProcedimentoFuncao</t>
  </si>
  <si>
    <t>ProcedimentoFuncao -&gt; ''</t>
  </si>
  <si>
    <t>{procedimento}</t>
  </si>
  <si>
    <t>{inicio,procedimento,funcao}</t>
  </si>
  <si>
    <t>DeclaraProcedimento -&gt; procedimento identificador Parametros ; DeclaraParametros BlocoVariaveis BlocoComandos ;</t>
  </si>
  <si>
    <t>{funcao}</t>
  </si>
  <si>
    <t>DeclaraFuncao -&gt; funcao identificador Parametros : TipoBasico ; DeclaraParametros BlocoVariaveis BlocoComandos ;</t>
  </si>
  <si>
    <t>{(,''}</t>
  </si>
  <si>
    <t>{;,:}</t>
  </si>
  <si>
    <t>Parametros -&gt; ''</t>
  </si>
  <si>
    <t>Parametros -&gt; ( DeclaraIdentificador )</t>
  </si>
  <si>
    <t>{'',tipo,inteiro,real,caractere,logico,identificador}</t>
  </si>
  <si>
    <t>{variaveis,inicio,procedimento,funcao}</t>
  </si>
  <si>
    <t>DeclaraParametros -&gt; Declaracoes</t>
  </si>
  <si>
    <t>DeclaraParametros -&gt; ''</t>
  </si>
  <si>
    <t>{variaveis,''}</t>
  </si>
  <si>
    <t>{$,procedimento,funcao,inicio}</t>
  </si>
  <si>
    <t>BlocoVariaveis -&gt; ''</t>
  </si>
  <si>
    <t>BlocoVariaveis -&gt; variaveis Declaracoes</t>
  </si>
  <si>
    <t>{tipo,inteiro,real,caractere,logico,identificador}</t>
  </si>
  <si>
    <t>{variaveis,inicio,procedimento,funcao,$}</t>
  </si>
  <si>
    <t>Declaracoes -&gt; Declarations DeclaracoesBonus</t>
  </si>
  <si>
    <t>DeclaracoesBonus</t>
  </si>
  <si>
    <t>DeclaracoesBonus -&gt; Declaracoes</t>
  </si>
  <si>
    <t>DeclaracoesBonus -&gt; ''</t>
  </si>
  <si>
    <t>{variaveis,inicio,procedimento,funcao,$,tipo,inteiro,real,caractere,logico,identificador}</t>
  </si>
  <si>
    <t>Declarations</t>
  </si>
  <si>
    <t>Declarations -&gt; DeclaraVariaveis</t>
  </si>
  <si>
    <t>Declarations -&gt; DeclaraTipo</t>
  </si>
  <si>
    <t>{tipo}</t>
  </si>
  <si>
    <t>DeclaraTipo -&gt; tipo identificador = VetorMatriz [ Dimensao ] TipoBasico ;</t>
  </si>
  <si>
    <t>{inteiro,real,caractere,logico,identificador}</t>
  </si>
  <si>
    <t>DeclaraVariaveis -&gt; TipoBasico : DeclaraIdentificador ;</t>
  </si>
  <si>
    <t>{identificador}</t>
  </si>
  <si>
    <t>{),;}</t>
  </si>
  <si>
    <t>DeclaraIdentificador -&gt; identificador DeclaraIdentificadorBonus</t>
  </si>
  <si>
    <t>{,,''}</t>
  </si>
  <si>
    <t>DeclaraIdentificadorBonus</t>
  </si>
  <si>
    <t>DeclaraIdentificadorBonus -&gt; ''</t>
  </si>
  <si>
    <t>DeclaraIdentificadorBonus -&gt; , DeclaraIdentificador</t>
  </si>
  <si>
    <t>{vetor,matriz}</t>
  </si>
  <si>
    <t>{[}</t>
  </si>
  <si>
    <t>VetorMatriz -&gt; vetor</t>
  </si>
  <si>
    <t>VetorMatriz -&gt; matriz</t>
  </si>
  <si>
    <t>{numero_inteiro}</t>
  </si>
  <si>
    <t>{]}</t>
  </si>
  <si>
    <t>Dimensao -&gt; numero_inteiro : numero_inteiro DimensaoBonus</t>
  </si>
  <si>
    <t>DimensaoBonus</t>
  </si>
  <si>
    <t>DimensaoBonus -&gt; ''</t>
  </si>
  <si>
    <t>DimensaoBonus -&gt; , Dimensao</t>
  </si>
  <si>
    <t>TipoBasico -&gt; identificador</t>
  </si>
  <si>
    <t>TipoBasico -&gt; inteiro</t>
  </si>
  <si>
    <t>TipoBasico -&gt; real</t>
  </si>
  <si>
    <t>TipoBasico -&gt; caractere</t>
  </si>
  <si>
    <t>TipoBasico -&gt; logico</t>
  </si>
  <si>
    <t>{.,;}</t>
  </si>
  <si>
    <t>BlocoComandos -&gt; inicio ListaComandos fim</t>
  </si>
  <si>
    <t>{identificador,se,enquanto,para,repita,leia,imprima}</t>
  </si>
  <si>
    <t>{fim,senao,;,ate}</t>
  </si>
  <si>
    <t>ListaComandos -&gt; Comandos ; ListaComandosBonus</t>
  </si>
  <si>
    <t>{'',identificador,se,enquanto,para,repita,leia,imprima}</t>
  </si>
  <si>
    <t>ListaComandosBonus</t>
  </si>
  <si>
    <t>ListaComandosBonus -&gt; ListaComandos</t>
  </si>
  <si>
    <t>ListaComandosBonus -&gt; ''</t>
  </si>
  <si>
    <t>{;}</t>
  </si>
  <si>
    <t>Comandos -&gt; identificador CommandsIdentifier</t>
  </si>
  <si>
    <t>Comandos -&gt; se Expressao entao ListaComandos ElseIf fim se</t>
  </si>
  <si>
    <t>Comandos -&gt; enquanto Expressao faca ListaComandos fim enquanto</t>
  </si>
  <si>
    <t>Comandos -&gt; para identificador de Expressao ate Expressao StepFor faca ListaComandos fim para</t>
  </si>
  <si>
    <t>Comandos -&gt; repita ListaComandos ate Expressao</t>
  </si>
  <si>
    <t>Comandos -&gt; leia ( Variavel )</t>
  </si>
  <si>
    <t>Comandos -&gt; imprima ( ExprIter )</t>
  </si>
  <si>
    <t>{'',(,&lt;-,[}</t>
  </si>
  <si>
    <t>CommandsIdentifier</t>
  </si>
  <si>
    <t>CommandsIdentifier -&gt; ''</t>
  </si>
  <si>
    <t>CommandsIdentifier -&gt; ( ExprIter )</t>
  </si>
  <si>
    <t>CommandsIdentifier -&gt; [ ExprIter ] &lt;- Expressao</t>
  </si>
  <si>
    <t>CommandsIdentifier -&gt; &lt;- Expressao</t>
  </si>
  <si>
    <t>{senao,''}</t>
  </si>
  <si>
    <t>{fim}</t>
  </si>
  <si>
    <t>ElseIf</t>
  </si>
  <si>
    <t>ElseIf -&gt; ''</t>
  </si>
  <si>
    <t>ElseIf -&gt; senao ListaComandos</t>
  </si>
  <si>
    <t>{passo,''}</t>
  </si>
  <si>
    <t>{faca}</t>
  </si>
  <si>
    <t>StepFor</t>
  </si>
  <si>
    <t>StepFor -&gt; ''</t>
  </si>
  <si>
    <t>StepFor -&gt; passo Expressao</t>
  </si>
  <si>
    <t>{+,-,'',=,&lt;&gt;,&lt;,&lt;=,&gt;=,&gt;,(,nao,numero_inteiro,numero_real,verdadeiro,falso,string,identificador}</t>
  </si>
  <si>
    <t>{;,entao,faca,ate,passo,),,,]}</t>
  </si>
  <si>
    <t>Expressao -&gt; ExpressaoSimples ExpressaoNew</t>
  </si>
  <si>
    <t>{=,&lt;&gt;,&lt;,&lt;=,&gt;=,&gt;,''}</t>
  </si>
  <si>
    <t>ExpressaoNew</t>
  </si>
  <si>
    <t>ExpressaoNew -&gt; ''</t>
  </si>
  <si>
    <t>ExpressaoNew -&gt; = ExpressaoSimples ExpressaoNew</t>
  </si>
  <si>
    <t>ExpressaoNew -&gt; &lt;&gt; ExpressaoSimples ExpressaoNew</t>
  </si>
  <si>
    <t>ExpressaoNew -&gt; &lt; ExpressaoSimples ExpressaoNew</t>
  </si>
  <si>
    <t>ExpressaoNew -&gt; &lt;= ExpressaoSimples ExpressaoNew</t>
  </si>
  <si>
    <t>ExpressaoNew -&gt; &gt;= ExpressaoSimples ExpressaoNew</t>
  </si>
  <si>
    <t>ExpressaoNew -&gt; &gt; ExpressaoSimples ExpressaoNew</t>
  </si>
  <si>
    <t>{+,-,'',(,nao,numero_inteiro,numero_real,verdadeiro,falso,string,identificador}</t>
  </si>
  <si>
    <t>{=,&lt;&gt;,&lt;,&lt;=,&gt;=,&gt;,;,entao,faca,ate,passo,),,,]}</t>
  </si>
  <si>
    <t>ExpressaoSimples -&gt; Signal Termo ExpressaoSimplesNew</t>
  </si>
  <si>
    <t>{+,-,''}</t>
  </si>
  <si>
    <t>{(,nao,numero_inteiro,numero_real,verdadeiro,falso,string,identificador}</t>
  </si>
  <si>
    <t>Signal</t>
  </si>
  <si>
    <t>Signal -&gt; ''</t>
  </si>
  <si>
    <t>Signal -&gt; +</t>
  </si>
  <si>
    <t>Signal -&gt; -</t>
  </si>
  <si>
    <t>{+,-,ou,''}</t>
  </si>
  <si>
    <t>ExpressaoSimplesNew</t>
  </si>
  <si>
    <t>ExpressaoSimplesNew -&gt; ''</t>
  </si>
  <si>
    <t>ExpressaoSimplesNew -&gt; + Termo ExpressaoSimplesNew</t>
  </si>
  <si>
    <t>ExpressaoSimplesNew -&gt; - Termo ExpressaoSimplesNew</t>
  </si>
  <si>
    <t>ExpressaoSimplesNew -&gt; ou Termo ExpressaoSimplesNew</t>
  </si>
  <si>
    <t>{+,-,ou,=,&lt;&gt;,&lt;,&lt;=,&gt;=,&gt;,;,entao,faca,ate,passo,),,,]}</t>
  </si>
  <si>
    <t>Termo -&gt; Fator TermoNew</t>
  </si>
  <si>
    <t>{*,/,div,e,''}</t>
  </si>
  <si>
    <t>TermoNew</t>
  </si>
  <si>
    <t>TermoNew -&gt; ''</t>
  </si>
  <si>
    <t>TermoNew -&gt; * Fator TermoNew</t>
  </si>
  <si>
    <t>TermoNew -&gt; / Fator TermoNew</t>
  </si>
  <si>
    <t>TermoNew -&gt; div Fator TermoNew</t>
  </si>
  <si>
    <t>TermoNew -&gt; e Fator TermoNew</t>
  </si>
  <si>
    <t>{*,/,div,e,+,-,ou,=,&lt;&gt;,&lt;,&lt;=,&gt;=,&gt;,;,entao,faca,ate,passo,),,,]}</t>
  </si>
  <si>
    <t>Fator -&gt; identificador IdentifierVariable</t>
  </si>
  <si>
    <t>Fator -&gt; ( Expressao )</t>
  </si>
  <si>
    <t>Fator -&gt; numero_inteiro</t>
  </si>
  <si>
    <t>Fator -&gt; nao Fator</t>
  </si>
  <si>
    <t>Fator -&gt; numero_real</t>
  </si>
  <si>
    <t>Fator -&gt; verdadeiro</t>
  </si>
  <si>
    <t>Fator -&gt; falso</t>
  </si>
  <si>
    <t>Fator -&gt; string</t>
  </si>
  <si>
    <t>{(,[,''}</t>
  </si>
  <si>
    <t>IdentifierVariable</t>
  </si>
  <si>
    <t>IdentifierVariable -&gt; VariableExp</t>
  </si>
  <si>
    <t>IdentifierVariable -&gt; ( ExprIter )</t>
  </si>
  <si>
    <t>{)}</t>
  </si>
  <si>
    <t>Variavel -&gt; identificador VariableExp</t>
  </si>
  <si>
    <t>{[,''}</t>
  </si>
  <si>
    <t>VariableExp</t>
  </si>
  <si>
    <t>VariableExp -&gt; ''</t>
  </si>
  <si>
    <t>VariableExp -&gt; [ ExprIter ]</t>
  </si>
  <si>
    <t>{+,-,'',=,&lt;&gt;,&lt;,&lt;=,&gt;=,&gt;,,,(,nao,numero_inteiro,numero_real,verdadeiro,falso,string,identificador}</t>
  </si>
  <si>
    <t>{),]}</t>
  </si>
  <si>
    <t>ExprIter -&gt; Expressao ExprIterBonus</t>
  </si>
  <si>
    <t>ExprIterBonus</t>
  </si>
  <si>
    <t>ExprIterBonus -&gt; ''</t>
  </si>
  <si>
    <t>ExprIterBonus -&gt; , ExprIter</t>
  </si>
  <si>
    <t>COD</t>
  </si>
  <si>
    <t>Producao</t>
  </si>
  <si>
    <t>TERMINAL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</si>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</sst>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urier"/>
    </font>
    <font>
      <sz val="11"/>
      <color theme="1"/>
      <name val="Courie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94C4-B8AC-4D3C-B46F-D5FDBE8C81C8}">
  <dimension ref="B2:F56"/>
  <sheetViews>
    <sheetView workbookViewId="0">
      <selection activeCell="I25" sqref="I25"/>
    </sheetView>
  </sheetViews>
  <sheetFormatPr defaultRowHeight="14.5" x14ac:dyDescent="0.35"/>
  <cols>
    <col min="2" max="2" width="29.54296875" customWidth="1"/>
    <col min="3" max="3" width="10.26953125" customWidth="1"/>
    <col min="4" max="4" width="3.453125" customWidth="1"/>
    <col min="5" max="5" width="31.7265625" customWidth="1"/>
  </cols>
  <sheetData>
    <row r="2" spans="2:6" x14ac:dyDescent="0.35">
      <c r="B2" t="s">
        <v>0</v>
      </c>
      <c r="C2" t="s">
        <v>1</v>
      </c>
      <c r="E2" t="s">
        <v>48</v>
      </c>
    </row>
    <row r="3" spans="2:6" x14ac:dyDescent="0.35">
      <c r="B3" t="s">
        <v>25</v>
      </c>
      <c r="C3" t="s">
        <v>2</v>
      </c>
      <c r="E3" t="s">
        <v>49</v>
      </c>
      <c r="F3" t="s">
        <v>82</v>
      </c>
    </row>
    <row r="4" spans="2:6" x14ac:dyDescent="0.35">
      <c r="B4" t="s">
        <v>26</v>
      </c>
      <c r="C4" t="s">
        <v>3</v>
      </c>
      <c r="E4" t="s">
        <v>50</v>
      </c>
      <c r="F4" t="s">
        <v>98</v>
      </c>
    </row>
    <row r="5" spans="2:6" x14ac:dyDescent="0.35">
      <c r="B5" t="s">
        <v>27</v>
      </c>
      <c r="C5" t="s">
        <v>4</v>
      </c>
      <c r="E5" t="s">
        <v>51</v>
      </c>
      <c r="F5" t="s">
        <v>87</v>
      </c>
    </row>
    <row r="6" spans="2:6" x14ac:dyDescent="0.35">
      <c r="B6" t="s">
        <v>28</v>
      </c>
      <c r="C6" t="s">
        <v>5</v>
      </c>
      <c r="E6" t="s">
        <v>52</v>
      </c>
      <c r="F6" t="s">
        <v>93</v>
      </c>
    </row>
    <row r="7" spans="2:6" x14ac:dyDescent="0.35">
      <c r="B7" t="s">
        <v>29</v>
      </c>
      <c r="C7" t="s">
        <v>6</v>
      </c>
      <c r="E7" t="s">
        <v>74</v>
      </c>
      <c r="F7" t="s">
        <v>74</v>
      </c>
    </row>
    <row r="8" spans="2:6" x14ac:dyDescent="0.35">
      <c r="B8" t="s">
        <v>30</v>
      </c>
      <c r="C8" t="s">
        <v>7</v>
      </c>
      <c r="E8" t="s">
        <v>54</v>
      </c>
      <c r="F8" t="s">
        <v>84</v>
      </c>
    </row>
    <row r="9" spans="2:6" x14ac:dyDescent="0.35">
      <c r="B9" t="s">
        <v>31</v>
      </c>
      <c r="C9" t="s">
        <v>8</v>
      </c>
      <c r="E9" t="s">
        <v>55</v>
      </c>
      <c r="F9" t="s">
        <v>99</v>
      </c>
    </row>
    <row r="10" spans="2:6" x14ac:dyDescent="0.35">
      <c r="B10" t="s">
        <v>32</v>
      </c>
      <c r="C10" t="s">
        <v>9</v>
      </c>
      <c r="E10" t="s">
        <v>56</v>
      </c>
      <c r="F10" t="s">
        <v>100</v>
      </c>
    </row>
    <row r="11" spans="2:6" x14ac:dyDescent="0.35">
      <c r="B11" t="s">
        <v>33</v>
      </c>
      <c r="C11" t="s">
        <v>10</v>
      </c>
      <c r="E11" t="s">
        <v>57</v>
      </c>
      <c r="F11" t="s">
        <v>83</v>
      </c>
    </row>
    <row r="12" spans="2:6" x14ac:dyDescent="0.35">
      <c r="B12" t="s">
        <v>34</v>
      </c>
      <c r="C12" t="s">
        <v>11</v>
      </c>
      <c r="E12" t="s">
        <v>58</v>
      </c>
      <c r="F12" t="s">
        <v>101</v>
      </c>
    </row>
    <row r="13" spans="2:6" x14ac:dyDescent="0.35">
      <c r="B13" t="s">
        <v>35</v>
      </c>
      <c r="C13" t="s">
        <v>12</v>
      </c>
      <c r="E13" t="s">
        <v>59</v>
      </c>
      <c r="F13" t="s">
        <v>102</v>
      </c>
    </row>
    <row r="14" spans="2:6" x14ac:dyDescent="0.35">
      <c r="B14" t="s">
        <v>36</v>
      </c>
      <c r="C14" t="s">
        <v>13</v>
      </c>
      <c r="E14" t="s">
        <v>60</v>
      </c>
      <c r="F14" t="s">
        <v>88</v>
      </c>
    </row>
    <row r="15" spans="2:6" x14ac:dyDescent="0.35">
      <c r="B15" t="s">
        <v>37</v>
      </c>
      <c r="C15" t="s">
        <v>14</v>
      </c>
      <c r="E15" t="s">
        <v>61</v>
      </c>
      <c r="F15" t="s">
        <v>89</v>
      </c>
    </row>
    <row r="16" spans="2:6" x14ac:dyDescent="0.35">
      <c r="B16" t="s">
        <v>38</v>
      </c>
      <c r="C16" t="s">
        <v>15</v>
      </c>
      <c r="E16" t="s">
        <v>62</v>
      </c>
      <c r="F16" t="s">
        <v>95</v>
      </c>
    </row>
    <row r="17" spans="2:6" x14ac:dyDescent="0.35">
      <c r="B17" t="s">
        <v>39</v>
      </c>
      <c r="C17" t="s">
        <v>16</v>
      </c>
      <c r="E17" t="s">
        <v>63</v>
      </c>
      <c r="F17" t="s">
        <v>94</v>
      </c>
    </row>
    <row r="18" spans="2:6" x14ac:dyDescent="0.35">
      <c r="B18" t="s">
        <v>40</v>
      </c>
      <c r="C18" t="s">
        <v>17</v>
      </c>
      <c r="E18" t="s">
        <v>64</v>
      </c>
      <c r="F18" t="s">
        <v>91</v>
      </c>
    </row>
    <row r="19" spans="2:6" x14ac:dyDescent="0.35">
      <c r="B19" t="s">
        <v>41</v>
      </c>
      <c r="C19" t="s">
        <v>18</v>
      </c>
      <c r="E19" t="s">
        <v>65</v>
      </c>
      <c r="F19" t="s">
        <v>103</v>
      </c>
    </row>
    <row r="20" spans="2:6" x14ac:dyDescent="0.35">
      <c r="B20" t="s">
        <v>42</v>
      </c>
      <c r="C20" t="s">
        <v>19</v>
      </c>
      <c r="E20" t="s">
        <v>66</v>
      </c>
      <c r="F20" t="s">
        <v>86</v>
      </c>
    </row>
    <row r="21" spans="2:6" x14ac:dyDescent="0.35">
      <c r="B21" t="s">
        <v>43</v>
      </c>
      <c r="C21" t="s">
        <v>20</v>
      </c>
      <c r="E21" t="s">
        <v>67</v>
      </c>
      <c r="F21" t="s">
        <v>92</v>
      </c>
    </row>
    <row r="22" spans="2:6" x14ac:dyDescent="0.35">
      <c r="B22" t="s">
        <v>44</v>
      </c>
      <c r="C22" t="s">
        <v>21</v>
      </c>
      <c r="E22" t="s">
        <v>68</v>
      </c>
      <c r="F22" t="s">
        <v>90</v>
      </c>
    </row>
    <row r="23" spans="2:6" x14ac:dyDescent="0.35">
      <c r="B23" t="s">
        <v>45</v>
      </c>
      <c r="C23" t="s">
        <v>22</v>
      </c>
      <c r="E23" t="s">
        <v>69</v>
      </c>
      <c r="F23" t="s">
        <v>104</v>
      </c>
    </row>
    <row r="24" spans="2:6" x14ac:dyDescent="0.35">
      <c r="B24" t="s">
        <v>46</v>
      </c>
      <c r="C24" t="s">
        <v>23</v>
      </c>
      <c r="E24" t="s">
        <v>70</v>
      </c>
      <c r="F24" t="s">
        <v>85</v>
      </c>
    </row>
    <row r="25" spans="2:6" x14ac:dyDescent="0.35">
      <c r="B25" t="s">
        <v>47</v>
      </c>
      <c r="C25" t="s">
        <v>24</v>
      </c>
      <c r="E25" t="s">
        <v>71</v>
      </c>
      <c r="F25" t="s">
        <v>105</v>
      </c>
    </row>
    <row r="26" spans="2:6" x14ac:dyDescent="0.35">
      <c r="C26" t="s">
        <v>129</v>
      </c>
      <c r="E26" t="s">
        <v>72</v>
      </c>
      <c r="F26" t="s">
        <v>106</v>
      </c>
    </row>
    <row r="27" spans="2:6" x14ac:dyDescent="0.35">
      <c r="C27" t="s">
        <v>130</v>
      </c>
      <c r="E27" t="s">
        <v>73</v>
      </c>
      <c r="F27" t="s">
        <v>107</v>
      </c>
    </row>
    <row r="28" spans="2:6" x14ac:dyDescent="0.35">
      <c r="C28" t="s">
        <v>131</v>
      </c>
      <c r="E28" t="b">
        <v>1</v>
      </c>
      <c r="F28" t="s">
        <v>108</v>
      </c>
    </row>
    <row r="29" spans="2:6" x14ac:dyDescent="0.35">
      <c r="E29" t="b">
        <v>0</v>
      </c>
      <c r="F29">
        <v>1</v>
      </c>
    </row>
    <row r="30" spans="2:6" x14ac:dyDescent="0.35">
      <c r="E30" t="s">
        <v>53</v>
      </c>
      <c r="F30">
        <v>2</v>
      </c>
    </row>
    <row r="31" spans="2:6" x14ac:dyDescent="0.35">
      <c r="E31" t="s">
        <v>75</v>
      </c>
      <c r="F31">
        <v>3</v>
      </c>
    </row>
    <row r="32" spans="2:6" x14ac:dyDescent="0.35">
      <c r="E32" t="s">
        <v>76</v>
      </c>
      <c r="F32">
        <v>4</v>
      </c>
    </row>
    <row r="33" spans="5:6" x14ac:dyDescent="0.35">
      <c r="E33" t="s">
        <v>77</v>
      </c>
      <c r="F33">
        <v>5</v>
      </c>
    </row>
    <row r="34" spans="5:6" x14ac:dyDescent="0.35">
      <c r="E34" t="s">
        <v>78</v>
      </c>
      <c r="F34">
        <v>6</v>
      </c>
    </row>
    <row r="35" spans="5:6" x14ac:dyDescent="0.35">
      <c r="E35" t="s">
        <v>79</v>
      </c>
      <c r="F35">
        <v>7</v>
      </c>
    </row>
    <row r="36" spans="5:6" x14ac:dyDescent="0.35">
      <c r="E36" t="s">
        <v>80</v>
      </c>
      <c r="F36">
        <v>8</v>
      </c>
    </row>
    <row r="37" spans="5:6" x14ac:dyDescent="0.35">
      <c r="E37" t="s">
        <v>81</v>
      </c>
      <c r="F37">
        <v>9</v>
      </c>
    </row>
    <row r="38" spans="5:6" x14ac:dyDescent="0.35">
      <c r="E38" t="s">
        <v>122</v>
      </c>
      <c r="F38">
        <v>0</v>
      </c>
    </row>
    <row r="39" spans="5:6" x14ac:dyDescent="0.35">
      <c r="E39" t="s">
        <v>109</v>
      </c>
    </row>
    <row r="40" spans="5:6" x14ac:dyDescent="0.35">
      <c r="E40" t="s">
        <v>110</v>
      </c>
    </row>
    <row r="41" spans="5:6" x14ac:dyDescent="0.35">
      <c r="E41" t="s">
        <v>111</v>
      </c>
    </row>
    <row r="42" spans="5:6" x14ac:dyDescent="0.35">
      <c r="E42" t="s">
        <v>112</v>
      </c>
    </row>
    <row r="43" spans="5:6" x14ac:dyDescent="0.35">
      <c r="E43" t="s">
        <v>113</v>
      </c>
    </row>
    <row r="44" spans="5:6" x14ac:dyDescent="0.35">
      <c r="E44" t="s">
        <v>114</v>
      </c>
    </row>
    <row r="45" spans="5:6" x14ac:dyDescent="0.35">
      <c r="E45" t="s">
        <v>115</v>
      </c>
    </row>
    <row r="46" spans="5:6" x14ac:dyDescent="0.35">
      <c r="E46" t="s">
        <v>116</v>
      </c>
    </row>
    <row r="47" spans="5:6" x14ac:dyDescent="0.35">
      <c r="E47" t="s">
        <v>117</v>
      </c>
    </row>
    <row r="48" spans="5:6" x14ac:dyDescent="0.35">
      <c r="E48" t="s">
        <v>97</v>
      </c>
    </row>
    <row r="49" spans="5:6" x14ac:dyDescent="0.35">
      <c r="E49" t="s">
        <v>96</v>
      </c>
    </row>
    <row r="50" spans="5:6" x14ac:dyDescent="0.35">
      <c r="E50" t="s">
        <v>118</v>
      </c>
    </row>
    <row r="51" spans="5:6" x14ac:dyDescent="0.35">
      <c r="E51" t="s">
        <v>119</v>
      </c>
    </row>
    <row r="52" spans="5:6" x14ac:dyDescent="0.35">
      <c r="E52" t="s">
        <v>120</v>
      </c>
    </row>
    <row r="53" spans="5:6" x14ac:dyDescent="0.35">
      <c r="E53" t="s">
        <v>121</v>
      </c>
    </row>
    <row r="54" spans="5:6" x14ac:dyDescent="0.35">
      <c r="E54" t="s">
        <v>123</v>
      </c>
      <c r="F54" t="s">
        <v>128</v>
      </c>
    </row>
    <row r="55" spans="5:6" x14ac:dyDescent="0.35">
      <c r="E55" t="s">
        <v>124</v>
      </c>
      <c r="F55" t="s">
        <v>126</v>
      </c>
    </row>
    <row r="56" spans="5:6" x14ac:dyDescent="0.35">
      <c r="E56" t="s">
        <v>125</v>
      </c>
      <c r="F56" t="s">
        <v>127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1DED4-D4DC-4627-8255-69DE557397B2}">
  <dimension ref="B2:BH40"/>
  <sheetViews>
    <sheetView workbookViewId="0">
      <selection activeCell="D2" sqref="D2"/>
    </sheetView>
  </sheetViews>
  <sheetFormatPr defaultRowHeight="14.5" x14ac:dyDescent="0.35"/>
  <cols>
    <col min="1" max="1" width="3.81640625" customWidth="1"/>
    <col min="3" max="3" width="9.1796875" customWidth="1"/>
    <col min="4" max="4" width="30.453125" customWidth="1"/>
    <col min="5" max="5" width="14.7265625" customWidth="1"/>
    <col min="6" max="6" width="19" customWidth="1"/>
    <col min="9" max="9" width="17.54296875" customWidth="1"/>
    <col min="10" max="10" width="10.81640625" customWidth="1"/>
    <col min="14" max="14" width="13.453125" customWidth="1"/>
    <col min="22" max="22" width="21.81640625" customWidth="1"/>
    <col min="23" max="23" width="16" customWidth="1"/>
    <col min="25" max="25" width="14" customWidth="1"/>
    <col min="33" max="33" width="13" customWidth="1"/>
    <col min="41" max="41" width="11.453125" customWidth="1"/>
    <col min="55" max="55" width="16.54296875" customWidth="1"/>
    <col min="56" max="56" width="18.1796875" customWidth="1"/>
  </cols>
  <sheetData>
    <row r="2" spans="2:60" x14ac:dyDescent="0.35">
      <c r="B2" s="4" t="s">
        <v>132</v>
      </c>
      <c r="C2" s="4" t="s">
        <v>133</v>
      </c>
      <c r="D2" s="5" t="s">
        <v>134</v>
      </c>
      <c r="E2" s="4" t="s">
        <v>49</v>
      </c>
      <c r="F2" s="4" t="s">
        <v>122</v>
      </c>
      <c r="G2" s="4" t="s">
        <v>109</v>
      </c>
      <c r="H2" s="4" t="s">
        <v>112</v>
      </c>
      <c r="I2" s="4" t="s">
        <v>61</v>
      </c>
      <c r="J2" s="4" t="s">
        <v>60</v>
      </c>
      <c r="K2" s="4" t="s">
        <v>111</v>
      </c>
      <c r="L2" s="4" t="s">
        <v>115</v>
      </c>
      <c r="M2" s="4" t="s">
        <v>116</v>
      </c>
      <c r="N2" s="4" t="s">
        <v>52</v>
      </c>
      <c r="O2" s="4" t="s">
        <v>59</v>
      </c>
      <c r="P2" s="4" t="s">
        <v>117</v>
      </c>
      <c r="Q2" s="4" t="s">
        <v>113</v>
      </c>
      <c r="R2" s="4" t="s">
        <v>114</v>
      </c>
      <c r="S2" s="4" t="s">
        <v>110</v>
      </c>
      <c r="T2" s="4" t="s">
        <v>57</v>
      </c>
      <c r="U2" s="4" t="s">
        <v>58</v>
      </c>
      <c r="V2" s="4" t="s">
        <v>123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50</v>
      </c>
      <c r="AB2" s="4" t="s">
        <v>51</v>
      </c>
      <c r="AC2" s="4" t="s">
        <v>81</v>
      </c>
      <c r="AD2" s="4" t="s">
        <v>62</v>
      </c>
      <c r="AE2" s="4" t="s">
        <v>63</v>
      </c>
      <c r="AF2" s="4" t="s">
        <v>64</v>
      </c>
      <c r="AG2" s="4" t="s">
        <v>65</v>
      </c>
      <c r="AH2" s="4" t="s">
        <v>66</v>
      </c>
      <c r="AI2" s="4" t="s">
        <v>67</v>
      </c>
      <c r="AJ2" s="4" t="s">
        <v>68</v>
      </c>
      <c r="AK2" s="4" t="s">
        <v>69</v>
      </c>
      <c r="AL2" s="4" t="s">
        <v>70</v>
      </c>
      <c r="AM2" s="4" t="s">
        <v>71</v>
      </c>
      <c r="AN2" s="4" t="s">
        <v>72</v>
      </c>
      <c r="AO2" s="4" t="s">
        <v>73</v>
      </c>
      <c r="AP2" s="4" t="s">
        <v>78</v>
      </c>
      <c r="AQ2" s="4" t="s">
        <v>96</v>
      </c>
      <c r="AR2" s="4" t="s">
        <v>80</v>
      </c>
      <c r="AS2" s="4" t="s">
        <v>79</v>
      </c>
      <c r="AT2" s="4" t="s">
        <v>97</v>
      </c>
      <c r="AU2" s="4" t="s">
        <v>118</v>
      </c>
      <c r="AV2" s="4" t="s">
        <v>119</v>
      </c>
      <c r="AW2" s="4" t="s">
        <v>75</v>
      </c>
      <c r="AX2" s="4" t="s">
        <v>120</v>
      </c>
      <c r="AY2" s="4" t="s">
        <v>121</v>
      </c>
      <c r="AZ2" s="4" t="s">
        <v>77</v>
      </c>
      <c r="BA2" s="4" t="s">
        <v>74</v>
      </c>
      <c r="BB2" s="4" t="s">
        <v>135</v>
      </c>
      <c r="BC2" s="4" t="s">
        <v>124</v>
      </c>
      <c r="BD2" s="4" t="b">
        <v>1</v>
      </c>
      <c r="BE2" s="4" t="b">
        <v>0</v>
      </c>
      <c r="BF2" s="4" t="s">
        <v>125</v>
      </c>
      <c r="BG2" s="4" t="s">
        <v>136</v>
      </c>
    </row>
    <row r="3" spans="2:60" x14ac:dyDescent="0.35">
      <c r="B3" s="1" t="s">
        <v>137</v>
      </c>
      <c r="C3" s="1" t="s">
        <v>138</v>
      </c>
      <c r="D3" s="1" t="s">
        <v>25</v>
      </c>
      <c r="E3" s="1" t="s">
        <v>139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2:60" x14ac:dyDescent="0.35">
      <c r="B4" s="1" t="s">
        <v>140</v>
      </c>
      <c r="C4" s="1" t="s">
        <v>141</v>
      </c>
      <c r="D4" s="1" t="s">
        <v>28</v>
      </c>
      <c r="E4" s="1"/>
      <c r="F4" s="1"/>
      <c r="G4" s="1"/>
      <c r="H4" s="1"/>
      <c r="I4" s="1" t="s">
        <v>142</v>
      </c>
      <c r="J4" s="1" t="s">
        <v>143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144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2:60" x14ac:dyDescent="0.35">
      <c r="B5" s="1" t="s">
        <v>145</v>
      </c>
      <c r="C5" s="1" t="s">
        <v>146</v>
      </c>
      <c r="D5" s="1" t="s">
        <v>29</v>
      </c>
      <c r="E5" s="1"/>
      <c r="F5" s="1"/>
      <c r="G5" s="1"/>
      <c r="H5" s="1"/>
      <c r="I5" s="1" t="s">
        <v>147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2:60" x14ac:dyDescent="0.35">
      <c r="B6" s="1" t="s">
        <v>148</v>
      </c>
      <c r="C6" s="1" t="s">
        <v>146</v>
      </c>
      <c r="D6" s="1" t="s">
        <v>30</v>
      </c>
      <c r="E6" s="1"/>
      <c r="F6" s="1"/>
      <c r="G6" s="1"/>
      <c r="H6" s="1"/>
      <c r="I6" s="1"/>
      <c r="J6" s="1" t="s">
        <v>149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2"/>
    </row>
    <row r="7" spans="2:60" x14ac:dyDescent="0.35">
      <c r="B7" s="1" t="s">
        <v>150</v>
      </c>
      <c r="C7" s="1" t="s">
        <v>151</v>
      </c>
      <c r="D7" s="1" t="s">
        <v>31</v>
      </c>
      <c r="E7" s="1"/>
      <c r="F7" s="1"/>
      <c r="G7" s="1" t="s">
        <v>152</v>
      </c>
      <c r="H7" s="1"/>
      <c r="I7" s="1"/>
      <c r="J7" s="1"/>
      <c r="K7" s="1" t="s">
        <v>152</v>
      </c>
      <c r="L7" s="1" t="s">
        <v>153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2:60" x14ac:dyDescent="0.35">
      <c r="B8" s="1" t="s">
        <v>154</v>
      </c>
      <c r="C8" s="1" t="s">
        <v>155</v>
      </c>
      <c r="D8" s="1" t="s">
        <v>32</v>
      </c>
      <c r="E8" s="1"/>
      <c r="F8" s="1" t="s">
        <v>156</v>
      </c>
      <c r="G8" s="1"/>
      <c r="H8" s="1"/>
      <c r="I8" s="1" t="s">
        <v>157</v>
      </c>
      <c r="J8" s="1" t="s">
        <v>157</v>
      </c>
      <c r="K8" s="1"/>
      <c r="L8" s="1"/>
      <c r="M8" s="1"/>
      <c r="N8" s="1" t="s">
        <v>157</v>
      </c>
      <c r="O8" s="1" t="s">
        <v>156</v>
      </c>
      <c r="P8" s="1"/>
      <c r="Q8" s="1"/>
      <c r="R8" s="1"/>
      <c r="S8" s="1"/>
      <c r="T8" s="1"/>
      <c r="U8" s="1"/>
      <c r="V8" s="1"/>
      <c r="W8" s="1" t="s">
        <v>156</v>
      </c>
      <c r="X8" s="1" t="s">
        <v>156</v>
      </c>
      <c r="Y8" s="1" t="s">
        <v>156</v>
      </c>
      <c r="Z8" s="1" t="s">
        <v>156</v>
      </c>
      <c r="AA8" s="1" t="s">
        <v>157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2:60" x14ac:dyDescent="0.35">
      <c r="B9" s="1" t="s">
        <v>158</v>
      </c>
      <c r="C9" s="1" t="s">
        <v>159</v>
      </c>
      <c r="D9" s="1" t="s">
        <v>26</v>
      </c>
      <c r="E9" s="1"/>
      <c r="F9" s="1"/>
      <c r="G9" s="1"/>
      <c r="H9" s="1"/>
      <c r="I9" s="1" t="s">
        <v>160</v>
      </c>
      <c r="J9" s="1" t="s">
        <v>160</v>
      </c>
      <c r="K9" s="1"/>
      <c r="L9" s="1"/>
      <c r="M9" s="1"/>
      <c r="N9" s="1" t="s">
        <v>161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 t="s">
        <v>160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 t="s">
        <v>160</v>
      </c>
    </row>
    <row r="10" spans="2:60" x14ac:dyDescent="0.35">
      <c r="B10" s="1" t="s">
        <v>162</v>
      </c>
      <c r="C10" s="1" t="s">
        <v>163</v>
      </c>
      <c r="D10" s="1" t="s">
        <v>34</v>
      </c>
      <c r="E10" s="1"/>
      <c r="F10" s="1" t="s">
        <v>164</v>
      </c>
      <c r="G10" s="1"/>
      <c r="H10" s="1"/>
      <c r="I10" s="1"/>
      <c r="J10" s="1"/>
      <c r="K10" s="1"/>
      <c r="L10" s="1"/>
      <c r="M10" s="1"/>
      <c r="N10" s="1"/>
      <c r="O10" s="1" t="s">
        <v>164</v>
      </c>
      <c r="P10" s="1"/>
      <c r="Q10" s="1"/>
      <c r="R10" s="1"/>
      <c r="S10" s="1"/>
      <c r="T10" s="1"/>
      <c r="U10" s="1"/>
      <c r="V10" s="1"/>
      <c r="W10" s="1" t="s">
        <v>164</v>
      </c>
      <c r="X10" s="1" t="s">
        <v>164</v>
      </c>
      <c r="Y10" s="1" t="s">
        <v>164</v>
      </c>
      <c r="Z10" s="1" t="s">
        <v>164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2:60" x14ac:dyDescent="0.35">
      <c r="B11" s="1" t="s">
        <v>154</v>
      </c>
      <c r="C11" s="1" t="s">
        <v>163</v>
      </c>
      <c r="D11" s="1" t="s">
        <v>165</v>
      </c>
      <c r="E11" s="1"/>
      <c r="F11" s="1" t="s">
        <v>166</v>
      </c>
      <c r="G11" s="1"/>
      <c r="H11" s="1"/>
      <c r="I11" s="1" t="s">
        <v>167</v>
      </c>
      <c r="J11" s="1" t="s">
        <v>167</v>
      </c>
      <c r="K11" s="1"/>
      <c r="L11" s="1"/>
      <c r="M11" s="1"/>
      <c r="N11" s="1" t="s">
        <v>167</v>
      </c>
      <c r="O11" s="1" t="s">
        <v>166</v>
      </c>
      <c r="P11" s="1"/>
      <c r="Q11" s="1"/>
      <c r="R11" s="1"/>
      <c r="S11" s="1"/>
      <c r="T11" s="1"/>
      <c r="U11" s="1"/>
      <c r="V11" s="1"/>
      <c r="W11" s="1" t="s">
        <v>166</v>
      </c>
      <c r="X11" s="1" t="s">
        <v>166</v>
      </c>
      <c r="Y11" s="1" t="s">
        <v>166</v>
      </c>
      <c r="Z11" s="1" t="s">
        <v>166</v>
      </c>
      <c r="AA11" s="1" t="s">
        <v>167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 t="s">
        <v>167</v>
      </c>
    </row>
    <row r="12" spans="2:60" x14ac:dyDescent="0.35">
      <c r="B12" s="1" t="s">
        <v>162</v>
      </c>
      <c r="C12" s="1" t="s">
        <v>168</v>
      </c>
      <c r="D12" s="1" t="s">
        <v>169</v>
      </c>
      <c r="E12" s="1"/>
      <c r="F12" s="1" t="s">
        <v>170</v>
      </c>
      <c r="G12" s="1"/>
      <c r="H12" s="1"/>
      <c r="I12" s="1"/>
      <c r="J12" s="1"/>
      <c r="K12" s="1"/>
      <c r="L12" s="1"/>
      <c r="M12" s="1"/>
      <c r="N12" s="1"/>
      <c r="O12" s="1" t="s">
        <v>171</v>
      </c>
      <c r="P12" s="1"/>
      <c r="Q12" s="1"/>
      <c r="R12" s="1"/>
      <c r="S12" s="1"/>
      <c r="T12" s="1"/>
      <c r="U12" s="1"/>
      <c r="V12" s="1"/>
      <c r="W12" s="1" t="s">
        <v>170</v>
      </c>
      <c r="X12" s="1" t="s">
        <v>170</v>
      </c>
      <c r="Y12" s="1" t="s">
        <v>170</v>
      </c>
      <c r="Z12" s="1" t="s">
        <v>170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2:60" x14ac:dyDescent="0.35">
      <c r="B13" s="1" t="s">
        <v>172</v>
      </c>
      <c r="C13" s="1" t="s">
        <v>168</v>
      </c>
      <c r="D13" s="1" t="s">
        <v>36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173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2:60" x14ac:dyDescent="0.35">
      <c r="B14" s="1" t="s">
        <v>174</v>
      </c>
      <c r="C14" s="1" t="s">
        <v>168</v>
      </c>
      <c r="D14" s="1" t="s">
        <v>35</v>
      </c>
      <c r="E14" s="1"/>
      <c r="F14" s="1" t="s">
        <v>175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 t="s">
        <v>175</v>
      </c>
      <c r="X14" s="1" t="s">
        <v>175</v>
      </c>
      <c r="Y14" s="1" t="s">
        <v>175</v>
      </c>
      <c r="Z14" s="1" t="s">
        <v>175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2:60" x14ac:dyDescent="0.35">
      <c r="B15" s="1" t="s">
        <v>176</v>
      </c>
      <c r="C15" s="1" t="s">
        <v>177</v>
      </c>
      <c r="D15" s="1" t="s">
        <v>33</v>
      </c>
      <c r="E15" s="1"/>
      <c r="F15" s="1" t="s">
        <v>178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2:60" x14ac:dyDescent="0.35">
      <c r="B16" s="1" t="s">
        <v>179</v>
      </c>
      <c r="C16" s="1" t="s">
        <v>177</v>
      </c>
      <c r="D16" s="1" t="s">
        <v>180</v>
      </c>
      <c r="E16" s="1"/>
      <c r="F16" s="1"/>
      <c r="G16" s="1" t="s">
        <v>181</v>
      </c>
      <c r="H16" s="1"/>
      <c r="I16" s="1"/>
      <c r="J16" s="1"/>
      <c r="K16" s="1"/>
      <c r="L16" s="1"/>
      <c r="M16" s="1" t="s">
        <v>181</v>
      </c>
      <c r="N16" s="1"/>
      <c r="O16" s="1"/>
      <c r="P16" s="1"/>
      <c r="Q16" s="1"/>
      <c r="R16" s="1"/>
      <c r="S16" s="1" t="s">
        <v>182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2:59" x14ac:dyDescent="0.35">
      <c r="B17" s="1" t="s">
        <v>183</v>
      </c>
      <c r="C17" s="1" t="s">
        <v>184</v>
      </c>
      <c r="D17" s="1" t="s">
        <v>37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185</v>
      </c>
      <c r="U17" s="1" t="s">
        <v>186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2:59" x14ac:dyDescent="0.35">
      <c r="B18" s="1" t="s">
        <v>187</v>
      </c>
      <c r="C18" s="1" t="s">
        <v>188</v>
      </c>
      <c r="D18" s="1" t="s">
        <v>38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189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2:59" x14ac:dyDescent="0.35">
      <c r="B19" s="1" t="s">
        <v>179</v>
      </c>
      <c r="C19" s="1" t="s">
        <v>188</v>
      </c>
      <c r="D19" s="1" t="s">
        <v>190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 t="s">
        <v>191</v>
      </c>
      <c r="S19" s="1" t="s">
        <v>192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2:59" x14ac:dyDescent="0.35">
      <c r="B20" s="1" t="s">
        <v>174</v>
      </c>
      <c r="C20" s="1" t="s">
        <v>151</v>
      </c>
      <c r="D20" s="1" t="s">
        <v>39</v>
      </c>
      <c r="E20" s="1"/>
      <c r="F20" s="1" t="s">
        <v>193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">
        <v>194</v>
      </c>
      <c r="X20" s="1" t="s">
        <v>195</v>
      </c>
      <c r="Y20" s="1" t="s">
        <v>196</v>
      </c>
      <c r="Z20" s="1" t="s">
        <v>197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2:59" x14ac:dyDescent="0.35">
      <c r="B21" s="1" t="s">
        <v>141</v>
      </c>
      <c r="C21" s="1" t="s">
        <v>198</v>
      </c>
      <c r="D21" s="1" t="s">
        <v>27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 t="s">
        <v>199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2:59" x14ac:dyDescent="0.35">
      <c r="B22" s="1" t="s">
        <v>200</v>
      </c>
      <c r="C22" s="1" t="s">
        <v>201</v>
      </c>
      <c r="D22" s="1" t="s">
        <v>40</v>
      </c>
      <c r="E22" s="1"/>
      <c r="F22" s="1" t="s">
        <v>202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 t="s">
        <v>202</v>
      </c>
      <c r="AE22" s="1"/>
      <c r="AF22" s="1"/>
      <c r="AG22" s="1" t="s">
        <v>202</v>
      </c>
      <c r="AH22" s="1"/>
      <c r="AI22" s="1" t="s">
        <v>202</v>
      </c>
      <c r="AJ22" s="1"/>
      <c r="AK22" s="1"/>
      <c r="AL22" s="1"/>
      <c r="AM22" s="1" t="s">
        <v>202</v>
      </c>
      <c r="AN22" s="1" t="s">
        <v>202</v>
      </c>
      <c r="AO22" s="1" t="s">
        <v>202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2:59" x14ac:dyDescent="0.35">
      <c r="B23" s="1" t="s">
        <v>203</v>
      </c>
      <c r="C23" s="1" t="s">
        <v>201</v>
      </c>
      <c r="D23" s="1" t="s">
        <v>204</v>
      </c>
      <c r="E23" s="1"/>
      <c r="F23" s="1" t="s">
        <v>205</v>
      </c>
      <c r="G23" s="1" t="s">
        <v>206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 t="s">
        <v>206</v>
      </c>
      <c r="AC23" s="1"/>
      <c r="AD23" s="1" t="s">
        <v>205</v>
      </c>
      <c r="AE23" s="1"/>
      <c r="AF23" s="1" t="s">
        <v>206</v>
      </c>
      <c r="AG23" s="1" t="s">
        <v>205</v>
      </c>
      <c r="AH23" s="1"/>
      <c r="AI23" s="1" t="s">
        <v>205</v>
      </c>
      <c r="AJ23" s="1"/>
      <c r="AK23" s="1" t="s">
        <v>206</v>
      </c>
      <c r="AL23" s="1"/>
      <c r="AM23" s="1" t="s">
        <v>205</v>
      </c>
      <c r="AN23" s="1" t="s">
        <v>205</v>
      </c>
      <c r="AO23" s="1" t="s">
        <v>205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2:59" x14ac:dyDescent="0.35">
      <c r="B24" s="1" t="s">
        <v>200</v>
      </c>
      <c r="C24" s="1" t="s">
        <v>207</v>
      </c>
      <c r="D24" s="1" t="s">
        <v>41</v>
      </c>
      <c r="E24" s="1"/>
      <c r="F24" s="1" t="s">
        <v>208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 t="s">
        <v>209</v>
      </c>
      <c r="AE24" s="1"/>
      <c r="AF24" s="1"/>
      <c r="AG24" s="1" t="s">
        <v>210</v>
      </c>
      <c r="AH24" s="1"/>
      <c r="AI24" s="1" t="s">
        <v>211</v>
      </c>
      <c r="AJ24" s="1"/>
      <c r="AK24" s="1"/>
      <c r="AL24" s="1"/>
      <c r="AM24" s="1" t="s">
        <v>212</v>
      </c>
      <c r="AN24" s="1" t="s">
        <v>213</v>
      </c>
      <c r="AO24" s="1" t="s">
        <v>214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2:59" x14ac:dyDescent="0.35">
      <c r="B25" s="1" t="s">
        <v>215</v>
      </c>
      <c r="C25" s="1" t="s">
        <v>207</v>
      </c>
      <c r="D25" s="1" t="s">
        <v>216</v>
      </c>
      <c r="E25" s="1"/>
      <c r="F25" s="1"/>
      <c r="G25" s="1" t="s">
        <v>217</v>
      </c>
      <c r="H25" s="1"/>
      <c r="I25" s="1"/>
      <c r="J25" s="1"/>
      <c r="K25" s="1"/>
      <c r="L25" s="1" t="s">
        <v>218</v>
      </c>
      <c r="M25" s="1"/>
      <c r="N25" s="1"/>
      <c r="O25" s="1"/>
      <c r="P25" s="1"/>
      <c r="Q25" s="1" t="s">
        <v>219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 t="s">
        <v>220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2:59" x14ac:dyDescent="0.35">
      <c r="B26" s="1" t="s">
        <v>221</v>
      </c>
      <c r="C26" s="1" t="s">
        <v>222</v>
      </c>
      <c r="D26" s="1" t="s">
        <v>223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 t="s">
        <v>224</v>
      </c>
      <c r="AC26" s="1"/>
      <c r="AD26" s="1"/>
      <c r="AE26" s="1"/>
      <c r="AF26" s="1" t="s">
        <v>225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2:59" x14ac:dyDescent="0.35">
      <c r="B27" s="1" t="s">
        <v>226</v>
      </c>
      <c r="C27" s="1" t="s">
        <v>227</v>
      </c>
      <c r="D27" s="1" t="s">
        <v>228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229</v>
      </c>
      <c r="AI27" s="1"/>
      <c r="AJ27" s="1"/>
      <c r="AK27" s="1"/>
      <c r="AL27" s="1" t="s">
        <v>230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2:59" x14ac:dyDescent="0.35">
      <c r="B28" s="1" t="s">
        <v>231</v>
      </c>
      <c r="C28" s="1" t="s">
        <v>232</v>
      </c>
      <c r="D28" s="1" t="s">
        <v>44</v>
      </c>
      <c r="E28" s="1"/>
      <c r="F28" s="1" t="s">
        <v>233</v>
      </c>
      <c r="G28" s="1" t="s">
        <v>233</v>
      </c>
      <c r="H28" s="1"/>
      <c r="I28" s="1"/>
      <c r="J28" s="1"/>
      <c r="K28" s="1"/>
      <c r="L28" s="1" t="s">
        <v>233</v>
      </c>
      <c r="M28" s="1" t="s">
        <v>233</v>
      </c>
      <c r="N28" s="1"/>
      <c r="O28" s="1"/>
      <c r="P28" s="1" t="s">
        <v>233</v>
      </c>
      <c r="Q28" s="1"/>
      <c r="R28" s="1" t="s">
        <v>233</v>
      </c>
      <c r="S28" s="1" t="s">
        <v>233</v>
      </c>
      <c r="T28" s="1"/>
      <c r="U28" s="1"/>
      <c r="V28" s="1" t="s">
        <v>233</v>
      </c>
      <c r="W28" s="1"/>
      <c r="X28" s="1"/>
      <c r="Y28" s="1"/>
      <c r="Z28" s="1"/>
      <c r="AA28" s="1"/>
      <c r="AB28" s="1"/>
      <c r="AC28" s="1"/>
      <c r="AD28" s="1"/>
      <c r="AE28" s="1" t="s">
        <v>233</v>
      </c>
      <c r="AF28" s="1"/>
      <c r="AG28" s="1"/>
      <c r="AH28" s="1" t="s">
        <v>233</v>
      </c>
      <c r="AI28" s="1"/>
      <c r="AJ28" s="1"/>
      <c r="AK28" s="1" t="s">
        <v>233</v>
      </c>
      <c r="AL28" s="1" t="s">
        <v>233</v>
      </c>
      <c r="AM28" s="1"/>
      <c r="AN28" s="1"/>
      <c r="AO28" s="1"/>
      <c r="AP28" s="1" t="s">
        <v>233</v>
      </c>
      <c r="AQ28" s="1" t="s">
        <v>233</v>
      </c>
      <c r="AR28" s="1" t="s">
        <v>233</v>
      </c>
      <c r="AS28" s="1" t="s">
        <v>233</v>
      </c>
      <c r="AT28" s="1" t="s">
        <v>233</v>
      </c>
      <c r="AU28" s="1" t="s">
        <v>233</v>
      </c>
      <c r="AV28" s="1" t="s">
        <v>233</v>
      </c>
      <c r="AW28" s="1"/>
      <c r="AX28" s="1"/>
      <c r="AY28" s="1"/>
      <c r="AZ28" s="1"/>
      <c r="BA28" s="1"/>
      <c r="BB28" s="1" t="s">
        <v>233</v>
      </c>
      <c r="BC28" s="1" t="s">
        <v>233</v>
      </c>
      <c r="BD28" s="1" t="s">
        <v>233</v>
      </c>
      <c r="BE28" s="1" t="s">
        <v>233</v>
      </c>
      <c r="BF28" s="1" t="s">
        <v>233</v>
      </c>
      <c r="BG28" s="1"/>
    </row>
    <row r="29" spans="2:59" x14ac:dyDescent="0.35">
      <c r="B29" s="1" t="s">
        <v>234</v>
      </c>
      <c r="C29" s="1" t="s">
        <v>232</v>
      </c>
      <c r="D29" s="1" t="s">
        <v>235</v>
      </c>
      <c r="E29" s="1"/>
      <c r="F29" s="1"/>
      <c r="G29" s="1" t="s">
        <v>236</v>
      </c>
      <c r="H29" s="1"/>
      <c r="I29" s="1"/>
      <c r="J29" s="1"/>
      <c r="K29" s="1"/>
      <c r="L29" s="1"/>
      <c r="M29" s="1" t="s">
        <v>236</v>
      </c>
      <c r="N29" s="1"/>
      <c r="O29" s="1"/>
      <c r="P29" s="1" t="s">
        <v>237</v>
      </c>
      <c r="Q29" s="1"/>
      <c r="R29" s="1" t="s">
        <v>236</v>
      </c>
      <c r="S29" s="1" t="s">
        <v>236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">
        <v>236</v>
      </c>
      <c r="AF29" s="1"/>
      <c r="AG29" s="1"/>
      <c r="AH29" s="1" t="s">
        <v>236</v>
      </c>
      <c r="AI29" s="1"/>
      <c r="AJ29" s="1"/>
      <c r="AK29" s="1" t="s">
        <v>236</v>
      </c>
      <c r="AL29" s="1" t="s">
        <v>236</v>
      </c>
      <c r="AM29" s="1"/>
      <c r="AN29" s="1"/>
      <c r="AO29" s="1"/>
      <c r="AP29" s="1" t="s">
        <v>238</v>
      </c>
      <c r="AQ29" s="1" t="s">
        <v>239</v>
      </c>
      <c r="AR29" s="1" t="s">
        <v>240</v>
      </c>
      <c r="AS29" s="1" t="s">
        <v>241</v>
      </c>
      <c r="AT29" s="1" t="s">
        <v>242</v>
      </c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2:59" x14ac:dyDescent="0.35">
      <c r="B30" s="1" t="s">
        <v>243</v>
      </c>
      <c r="C30" s="1" t="s">
        <v>244</v>
      </c>
      <c r="D30" s="1" t="s">
        <v>45</v>
      </c>
      <c r="E30" s="1"/>
      <c r="F30" s="1" t="s">
        <v>245</v>
      </c>
      <c r="G30" s="1" t="s">
        <v>245</v>
      </c>
      <c r="H30" s="1"/>
      <c r="I30" s="1"/>
      <c r="J30" s="1"/>
      <c r="K30" s="1"/>
      <c r="L30" s="1" t="s">
        <v>245</v>
      </c>
      <c r="M30" s="1" t="s">
        <v>245</v>
      </c>
      <c r="N30" s="1"/>
      <c r="O30" s="1"/>
      <c r="P30" s="1" t="s">
        <v>245</v>
      </c>
      <c r="Q30" s="1"/>
      <c r="R30" s="1" t="s">
        <v>245</v>
      </c>
      <c r="S30" s="1" t="s">
        <v>245</v>
      </c>
      <c r="T30" s="1"/>
      <c r="U30" s="1"/>
      <c r="V30" s="1" t="s">
        <v>245</v>
      </c>
      <c r="W30" s="1"/>
      <c r="X30" s="1"/>
      <c r="Y30" s="1"/>
      <c r="Z30" s="1"/>
      <c r="AA30" s="1"/>
      <c r="AB30" s="1"/>
      <c r="AC30" s="1"/>
      <c r="AD30" s="1"/>
      <c r="AE30" s="1" t="s">
        <v>245</v>
      </c>
      <c r="AF30" s="1"/>
      <c r="AG30" s="1"/>
      <c r="AH30" s="1" t="s">
        <v>245</v>
      </c>
      <c r="AI30" s="1"/>
      <c r="AJ30" s="1"/>
      <c r="AK30" s="1" t="s">
        <v>245</v>
      </c>
      <c r="AL30" s="1" t="s">
        <v>245</v>
      </c>
      <c r="AM30" s="1"/>
      <c r="AN30" s="1"/>
      <c r="AO30" s="1"/>
      <c r="AP30" s="1" t="s">
        <v>245</v>
      </c>
      <c r="AQ30" s="1" t="s">
        <v>245</v>
      </c>
      <c r="AR30" s="1" t="s">
        <v>245</v>
      </c>
      <c r="AS30" s="1" t="s">
        <v>245</v>
      </c>
      <c r="AT30" s="1" t="s">
        <v>245</v>
      </c>
      <c r="AU30" s="1" t="s">
        <v>245</v>
      </c>
      <c r="AV30" s="1" t="s">
        <v>245</v>
      </c>
      <c r="AW30" s="1"/>
      <c r="AX30" s="1"/>
      <c r="AY30" s="1"/>
      <c r="AZ30" s="1"/>
      <c r="BA30" s="1"/>
      <c r="BB30" s="1" t="s">
        <v>245</v>
      </c>
      <c r="BC30" s="1" t="s">
        <v>245</v>
      </c>
      <c r="BD30" s="1" t="s">
        <v>245</v>
      </c>
      <c r="BE30" s="1" t="s">
        <v>245</v>
      </c>
      <c r="BF30" s="1" t="s">
        <v>245</v>
      </c>
      <c r="BG30" s="1"/>
    </row>
    <row r="31" spans="2:59" x14ac:dyDescent="0.35">
      <c r="B31" s="1" t="s">
        <v>246</v>
      </c>
      <c r="C31" s="1" t="s">
        <v>247</v>
      </c>
      <c r="D31" s="1" t="s">
        <v>248</v>
      </c>
      <c r="E31" s="1"/>
      <c r="F31" s="1" t="s">
        <v>249</v>
      </c>
      <c r="G31" s="1"/>
      <c r="H31" s="1"/>
      <c r="I31" s="1"/>
      <c r="J31" s="1"/>
      <c r="K31" s="1"/>
      <c r="L31" s="1" t="s">
        <v>249</v>
      </c>
      <c r="M31" s="1"/>
      <c r="N31" s="1"/>
      <c r="O31" s="1"/>
      <c r="P31" s="1"/>
      <c r="Q31" s="1"/>
      <c r="R31" s="1"/>
      <c r="S31" s="1"/>
      <c r="T31" s="1"/>
      <c r="U31" s="1"/>
      <c r="V31" s="1" t="s">
        <v>249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 t="s">
        <v>250</v>
      </c>
      <c r="AV31" s="1" t="s">
        <v>251</v>
      </c>
      <c r="AW31" s="1"/>
      <c r="AX31" s="1"/>
      <c r="AY31" s="1"/>
      <c r="AZ31" s="1"/>
      <c r="BA31" s="1"/>
      <c r="BB31" s="1" t="s">
        <v>249</v>
      </c>
      <c r="BC31" s="1" t="s">
        <v>249</v>
      </c>
      <c r="BD31" s="1" t="s">
        <v>249</v>
      </c>
      <c r="BE31" s="1" t="s">
        <v>249</v>
      </c>
      <c r="BF31" s="1" t="s">
        <v>249</v>
      </c>
      <c r="BG31" s="1"/>
    </row>
    <row r="32" spans="2:59" x14ac:dyDescent="0.35">
      <c r="B32" s="1" t="s">
        <v>252</v>
      </c>
      <c r="C32" s="1" t="s">
        <v>244</v>
      </c>
      <c r="D32" s="1" t="s">
        <v>253</v>
      </c>
      <c r="E32" s="1"/>
      <c r="F32" s="1"/>
      <c r="G32" s="1" t="s">
        <v>254</v>
      </c>
      <c r="H32" s="1"/>
      <c r="I32" s="1"/>
      <c r="J32" s="1"/>
      <c r="K32" s="1"/>
      <c r="L32" s="1"/>
      <c r="M32" s="1" t="s">
        <v>254</v>
      </c>
      <c r="N32" s="1"/>
      <c r="O32" s="1"/>
      <c r="P32" s="1" t="s">
        <v>254</v>
      </c>
      <c r="Q32" s="1"/>
      <c r="R32" s="1" t="s">
        <v>254</v>
      </c>
      <c r="S32" s="1" t="s">
        <v>254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">
        <v>254</v>
      </c>
      <c r="AF32" s="1"/>
      <c r="AG32" s="1"/>
      <c r="AH32" s="1" t="s">
        <v>254</v>
      </c>
      <c r="AI32" s="1"/>
      <c r="AJ32" s="1"/>
      <c r="AK32" s="1" t="s">
        <v>254</v>
      </c>
      <c r="AL32" s="1" t="s">
        <v>254</v>
      </c>
      <c r="AM32" s="1"/>
      <c r="AN32" s="1"/>
      <c r="AO32" s="1"/>
      <c r="AP32" s="1" t="s">
        <v>254</v>
      </c>
      <c r="AQ32" s="1" t="s">
        <v>254</v>
      </c>
      <c r="AR32" s="1" t="s">
        <v>254</v>
      </c>
      <c r="AS32" s="1" t="s">
        <v>254</v>
      </c>
      <c r="AT32" s="1" t="s">
        <v>254</v>
      </c>
      <c r="AU32" s="1" t="s">
        <v>255</v>
      </c>
      <c r="AV32" s="1" t="s">
        <v>256</v>
      </c>
      <c r="AW32" s="1" t="s">
        <v>257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2:59" x14ac:dyDescent="0.35">
      <c r="B33" s="1" t="s">
        <v>247</v>
      </c>
      <c r="C33" s="1" t="s">
        <v>258</v>
      </c>
      <c r="D33" s="1" t="s">
        <v>46</v>
      </c>
      <c r="E33" s="1"/>
      <c r="F33" s="1" t="s">
        <v>259</v>
      </c>
      <c r="G33" s="1"/>
      <c r="H33" s="1"/>
      <c r="I33" s="1"/>
      <c r="J33" s="1"/>
      <c r="K33" s="1"/>
      <c r="L33" s="1" t="s">
        <v>259</v>
      </c>
      <c r="M33" s="1"/>
      <c r="N33" s="1"/>
      <c r="O33" s="1"/>
      <c r="P33" s="1"/>
      <c r="Q33" s="1"/>
      <c r="R33" s="1"/>
      <c r="S33" s="1"/>
      <c r="T33" s="1"/>
      <c r="U33" s="1"/>
      <c r="V33" s="1" t="s">
        <v>259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 t="s">
        <v>259</v>
      </c>
      <c r="BC33" s="1" t="s">
        <v>259</v>
      </c>
      <c r="BD33" s="1" t="s">
        <v>259</v>
      </c>
      <c r="BE33" s="1" t="s">
        <v>259</v>
      </c>
      <c r="BF33" s="1" t="s">
        <v>259</v>
      </c>
      <c r="BG33" s="1"/>
    </row>
    <row r="34" spans="2:59" x14ac:dyDescent="0.35">
      <c r="B34" s="1" t="s">
        <v>260</v>
      </c>
      <c r="C34" s="1" t="s">
        <v>258</v>
      </c>
      <c r="D34" s="1" t="s">
        <v>261</v>
      </c>
      <c r="E34" s="1"/>
      <c r="F34" s="1"/>
      <c r="G34" s="1" t="s">
        <v>262</v>
      </c>
      <c r="H34" s="1"/>
      <c r="I34" s="1"/>
      <c r="J34" s="1"/>
      <c r="K34" s="1"/>
      <c r="L34" s="1"/>
      <c r="M34" s="1" t="s">
        <v>262</v>
      </c>
      <c r="N34" s="1"/>
      <c r="O34" s="1"/>
      <c r="P34" s="1" t="s">
        <v>262</v>
      </c>
      <c r="Q34" s="1"/>
      <c r="R34" s="1" t="s">
        <v>262</v>
      </c>
      <c r="S34" s="1" t="s">
        <v>262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">
        <v>262</v>
      </c>
      <c r="AF34" s="1"/>
      <c r="AG34" s="1"/>
      <c r="AH34" s="1" t="s">
        <v>262</v>
      </c>
      <c r="AI34" s="1"/>
      <c r="AJ34" s="1"/>
      <c r="AK34" s="1" t="s">
        <v>262</v>
      </c>
      <c r="AL34" s="1" t="s">
        <v>262</v>
      </c>
      <c r="AM34" s="1"/>
      <c r="AN34" s="1"/>
      <c r="AO34" s="1"/>
      <c r="AP34" s="1" t="s">
        <v>262</v>
      </c>
      <c r="AQ34" s="1" t="s">
        <v>262</v>
      </c>
      <c r="AR34" s="1" t="s">
        <v>262</v>
      </c>
      <c r="AS34" s="1" t="s">
        <v>262</v>
      </c>
      <c r="AT34" s="1" t="s">
        <v>262</v>
      </c>
      <c r="AU34" s="1" t="s">
        <v>262</v>
      </c>
      <c r="AV34" s="1" t="s">
        <v>262</v>
      </c>
      <c r="AW34" s="1" t="s">
        <v>262</v>
      </c>
      <c r="AX34" s="1" t="s">
        <v>263</v>
      </c>
      <c r="AY34" s="1" t="s">
        <v>264</v>
      </c>
      <c r="AZ34" s="1" t="s">
        <v>265</v>
      </c>
      <c r="BA34" s="1" t="s">
        <v>266</v>
      </c>
      <c r="BB34" s="1"/>
      <c r="BC34" s="1"/>
      <c r="BD34" s="1"/>
      <c r="BE34" s="1"/>
      <c r="BF34" s="1"/>
      <c r="BG34" s="1"/>
    </row>
    <row r="35" spans="2:59" x14ac:dyDescent="0.35">
      <c r="B35" s="1" t="s">
        <v>247</v>
      </c>
      <c r="C35" s="1" t="s">
        <v>267</v>
      </c>
      <c r="D35" s="1" t="s">
        <v>47</v>
      </c>
      <c r="E35" s="1"/>
      <c r="F35" s="1" t="s">
        <v>268</v>
      </c>
      <c r="G35" s="1"/>
      <c r="H35" s="1"/>
      <c r="I35" s="1"/>
      <c r="J35" s="1"/>
      <c r="K35" s="1"/>
      <c r="L35" s="1" t="s">
        <v>269</v>
      </c>
      <c r="M35" s="1"/>
      <c r="N35" s="1"/>
      <c r="O35" s="1"/>
      <c r="P35" s="1"/>
      <c r="Q35" s="1"/>
      <c r="R35" s="1"/>
      <c r="S35" s="1"/>
      <c r="T35" s="1"/>
      <c r="U35" s="1"/>
      <c r="V35" s="1" t="s">
        <v>270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 t="s">
        <v>271</v>
      </c>
      <c r="BC35" s="1" t="s">
        <v>272</v>
      </c>
      <c r="BD35" s="1" t="s">
        <v>273</v>
      </c>
      <c r="BE35" s="1" t="s">
        <v>274</v>
      </c>
      <c r="BF35" s="1" t="s">
        <v>275</v>
      </c>
      <c r="BG35" s="1"/>
    </row>
    <row r="36" spans="2:59" x14ac:dyDescent="0.35">
      <c r="B36" s="1" t="s">
        <v>276</v>
      </c>
      <c r="C36" s="1" t="s">
        <v>267</v>
      </c>
      <c r="D36" s="1" t="s">
        <v>277</v>
      </c>
      <c r="E36" s="1"/>
      <c r="F36" s="1"/>
      <c r="G36" s="1" t="s">
        <v>278</v>
      </c>
      <c r="H36" s="1"/>
      <c r="I36" s="1"/>
      <c r="J36" s="1"/>
      <c r="K36" s="1"/>
      <c r="L36" s="1" t="s">
        <v>279</v>
      </c>
      <c r="M36" s="1" t="s">
        <v>278</v>
      </c>
      <c r="N36" s="1"/>
      <c r="O36" s="1"/>
      <c r="P36" s="1" t="s">
        <v>278</v>
      </c>
      <c r="Q36" s="1" t="s">
        <v>278</v>
      </c>
      <c r="R36" s="1" t="s">
        <v>278</v>
      </c>
      <c r="S36" s="1" t="s">
        <v>278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">
        <v>278</v>
      </c>
      <c r="AF36" s="1"/>
      <c r="AG36" s="1"/>
      <c r="AH36" s="1" t="s">
        <v>278</v>
      </c>
      <c r="AI36" s="1"/>
      <c r="AJ36" s="1"/>
      <c r="AK36" s="1" t="s">
        <v>278</v>
      </c>
      <c r="AL36" s="1" t="s">
        <v>278</v>
      </c>
      <c r="AM36" s="1"/>
      <c r="AN36" s="1"/>
      <c r="AO36" s="1"/>
      <c r="AP36" s="1" t="s">
        <v>278</v>
      </c>
      <c r="AQ36" s="1" t="s">
        <v>278</v>
      </c>
      <c r="AR36" s="1" t="s">
        <v>278</v>
      </c>
      <c r="AS36" s="1" t="s">
        <v>278</v>
      </c>
      <c r="AT36" s="1" t="s">
        <v>278</v>
      </c>
      <c r="AU36" s="1" t="s">
        <v>278</v>
      </c>
      <c r="AV36" s="1" t="s">
        <v>278</v>
      </c>
      <c r="AW36" s="1" t="s">
        <v>278</v>
      </c>
      <c r="AX36" s="1" t="s">
        <v>278</v>
      </c>
      <c r="AY36" s="1" t="s">
        <v>278</v>
      </c>
      <c r="AZ36" s="1" t="s">
        <v>278</v>
      </c>
      <c r="BA36" s="1" t="s">
        <v>278</v>
      </c>
      <c r="BB36" s="1"/>
      <c r="BC36" s="1"/>
      <c r="BD36" s="1"/>
      <c r="BE36" s="1"/>
      <c r="BF36" s="1"/>
      <c r="BG36" s="1"/>
    </row>
    <row r="37" spans="2:59" x14ac:dyDescent="0.35">
      <c r="B37" s="1" t="s">
        <v>176</v>
      </c>
      <c r="C37" s="1" t="s">
        <v>280</v>
      </c>
      <c r="D37" s="1" t="s">
        <v>43</v>
      </c>
      <c r="E37" s="1"/>
      <c r="F37" s="1" t="s">
        <v>281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2:59" x14ac:dyDescent="0.35">
      <c r="B38" s="1" t="s">
        <v>282</v>
      </c>
      <c r="C38" s="1" t="s">
        <v>267</v>
      </c>
      <c r="D38" s="1" t="s">
        <v>283</v>
      </c>
      <c r="E38" s="1"/>
      <c r="F38" s="1"/>
      <c r="G38" s="1" t="s">
        <v>284</v>
      </c>
      <c r="H38" s="1"/>
      <c r="I38" s="1"/>
      <c r="J38" s="1"/>
      <c r="K38" s="1"/>
      <c r="L38" s="1"/>
      <c r="M38" s="1" t="s">
        <v>284</v>
      </c>
      <c r="N38" s="1"/>
      <c r="O38" s="1"/>
      <c r="P38" s="1" t="s">
        <v>284</v>
      </c>
      <c r="Q38" s="1" t="s">
        <v>285</v>
      </c>
      <c r="R38" s="1" t="s">
        <v>284</v>
      </c>
      <c r="S38" s="1" t="s">
        <v>284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">
        <v>284</v>
      </c>
      <c r="AF38" s="1"/>
      <c r="AG38" s="1"/>
      <c r="AH38" s="1" t="s">
        <v>284</v>
      </c>
      <c r="AI38" s="1"/>
      <c r="AJ38" s="1"/>
      <c r="AK38" s="1" t="s">
        <v>284</v>
      </c>
      <c r="AL38" s="1" t="s">
        <v>284</v>
      </c>
      <c r="AM38" s="1"/>
      <c r="AN38" s="1"/>
      <c r="AO38" s="1"/>
      <c r="AP38" s="1" t="s">
        <v>284</v>
      </c>
      <c r="AQ38" s="1" t="s">
        <v>284</v>
      </c>
      <c r="AR38" s="1" t="s">
        <v>284</v>
      </c>
      <c r="AS38" s="1" t="s">
        <v>284</v>
      </c>
      <c r="AT38" s="1" t="s">
        <v>284</v>
      </c>
      <c r="AU38" s="1" t="s">
        <v>284</v>
      </c>
      <c r="AV38" s="1" t="s">
        <v>284</v>
      </c>
      <c r="AW38" s="1" t="s">
        <v>284</v>
      </c>
      <c r="AX38" s="1" t="s">
        <v>284</v>
      </c>
      <c r="AY38" s="1" t="s">
        <v>284</v>
      </c>
      <c r="AZ38" s="1" t="s">
        <v>284</v>
      </c>
      <c r="BA38" s="1" t="s">
        <v>284</v>
      </c>
      <c r="BB38" s="1"/>
      <c r="BC38" s="1"/>
      <c r="BD38" s="1"/>
      <c r="BE38" s="1"/>
      <c r="BF38" s="1"/>
      <c r="BG38" s="1"/>
    </row>
    <row r="39" spans="2:59" x14ac:dyDescent="0.35">
      <c r="B39" s="1" t="s">
        <v>286</v>
      </c>
      <c r="C39" s="1" t="s">
        <v>287</v>
      </c>
      <c r="D39" s="1" t="s">
        <v>42</v>
      </c>
      <c r="E39" s="1"/>
      <c r="F39" s="1" t="s">
        <v>288</v>
      </c>
      <c r="G39" s="1"/>
      <c r="H39" s="1"/>
      <c r="I39" s="1"/>
      <c r="J39" s="1"/>
      <c r="K39" s="1"/>
      <c r="L39" s="1" t="s">
        <v>288</v>
      </c>
      <c r="M39" s="1" t="s">
        <v>288</v>
      </c>
      <c r="N39" s="1"/>
      <c r="O39" s="1"/>
      <c r="P39" s="1" t="s">
        <v>288</v>
      </c>
      <c r="Q39" s="1"/>
      <c r="R39" s="1" t="s">
        <v>288</v>
      </c>
      <c r="S39" s="1" t="s">
        <v>288</v>
      </c>
      <c r="T39" s="1"/>
      <c r="U39" s="1"/>
      <c r="V39" s="1" t="s">
        <v>288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 t="s">
        <v>288</v>
      </c>
      <c r="AQ39" s="1" t="s">
        <v>288</v>
      </c>
      <c r="AR39" s="1" t="s">
        <v>288</v>
      </c>
      <c r="AS39" s="1" t="s">
        <v>288</v>
      </c>
      <c r="AT39" s="1" t="s">
        <v>288</v>
      </c>
      <c r="AU39" s="1" t="s">
        <v>288</v>
      </c>
      <c r="AV39" s="1" t="s">
        <v>288</v>
      </c>
      <c r="AW39" s="1"/>
      <c r="AX39" s="1"/>
      <c r="AY39" s="1"/>
      <c r="AZ39" s="1"/>
      <c r="BA39" s="1"/>
      <c r="BB39" s="1" t="s">
        <v>288</v>
      </c>
      <c r="BC39" s="1" t="s">
        <v>288</v>
      </c>
      <c r="BD39" s="1" t="s">
        <v>288</v>
      </c>
      <c r="BE39" s="1" t="s">
        <v>288</v>
      </c>
      <c r="BF39" s="1" t="s">
        <v>288</v>
      </c>
      <c r="BG39" s="1"/>
    </row>
    <row r="40" spans="2:59" x14ac:dyDescent="0.35">
      <c r="B40" s="1" t="s">
        <v>179</v>
      </c>
      <c r="C40" s="1" t="s">
        <v>287</v>
      </c>
      <c r="D40" s="1" t="s">
        <v>289</v>
      </c>
      <c r="E40" s="1"/>
      <c r="F40" s="1"/>
      <c r="G40" s="1"/>
      <c r="H40" s="1"/>
      <c r="I40" s="1"/>
      <c r="J40" s="1"/>
      <c r="K40" s="1"/>
      <c r="L40" s="1"/>
      <c r="M40" s="1" t="s">
        <v>290</v>
      </c>
      <c r="N40" s="1"/>
      <c r="O40" s="1"/>
      <c r="P40" s="1"/>
      <c r="Q40" s="1"/>
      <c r="R40" s="1" t="s">
        <v>290</v>
      </c>
      <c r="S40" s="1" t="s">
        <v>291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E5C9-8C5D-43AE-B1A8-08D490655B6A}">
  <dimension ref="A1:BE39"/>
  <sheetViews>
    <sheetView topLeftCell="AS1" workbookViewId="0">
      <selection activeCell="BE8" sqref="BE8"/>
    </sheetView>
  </sheetViews>
  <sheetFormatPr defaultRowHeight="14.5" x14ac:dyDescent="0.35"/>
  <cols>
    <col min="2" max="2" width="27.7265625" customWidth="1"/>
    <col min="3" max="3" width="11.7265625" customWidth="1"/>
    <col min="4" max="4" width="12.81640625" customWidth="1"/>
    <col min="7" max="7" width="15.1796875" customWidth="1"/>
    <col min="54" max="54" width="17.81640625" customWidth="1"/>
  </cols>
  <sheetData>
    <row r="1" spans="1:57" x14ac:dyDescent="0.35">
      <c r="B1" s="7" t="str">
        <f>'LL1 Parser Table'!D2</f>
        <v>Nonterminal</v>
      </c>
      <c r="C1" s="6" t="str">
        <f>'LL1 Parser Table'!E2</f>
        <v>algoritmo</v>
      </c>
      <c r="D1" s="6" t="str">
        <f>'LL1 Parser Table'!F2</f>
        <v>identificador</v>
      </c>
      <c r="E1" s="6" t="str">
        <f>'LL1 Parser Table'!G2</f>
        <v>;</v>
      </c>
      <c r="F1" s="6" t="str">
        <f>'LL1 Parser Table'!H2</f>
        <v>.</v>
      </c>
      <c r="G1" s="6" t="str">
        <f>'LL1 Parser Table'!I2</f>
        <v>procedimento</v>
      </c>
      <c r="H1" s="6" t="str">
        <f>'LL1 Parser Table'!J2</f>
        <v>funcao</v>
      </c>
      <c r="I1" s="6" t="str">
        <f>'LL1 Parser Table'!K2</f>
        <v>:</v>
      </c>
      <c r="J1" s="6" t="str">
        <f>'LL1 Parser Table'!L2</f>
        <v>(</v>
      </c>
      <c r="K1" s="6" t="str">
        <f>'LL1 Parser Table'!M2</f>
        <v>)</v>
      </c>
      <c r="L1" s="6" t="str">
        <f>'LL1 Parser Table'!N2</f>
        <v>variaveis</v>
      </c>
      <c r="M1" s="6" t="str">
        <f>'LL1 Parser Table'!O2</f>
        <v>tipo</v>
      </c>
      <c r="N1" s="6" t="str">
        <f>'LL1 Parser Table'!P2</f>
        <v>=</v>
      </c>
      <c r="O1" s="6" t="str">
        <f>'LL1 Parser Table'!Q2</f>
        <v>[</v>
      </c>
      <c r="P1" s="6" t="str">
        <f>'LL1 Parser Table'!R2</f>
        <v>]</v>
      </c>
      <c r="Q1" s="6" t="str">
        <f>'LL1 Parser Table'!S2</f>
        <v>,</v>
      </c>
      <c r="R1" s="6" t="str">
        <f>'LL1 Parser Table'!T2</f>
        <v>vetor</v>
      </c>
      <c r="S1" s="6" t="str">
        <f>'LL1 Parser Table'!U2</f>
        <v>matriz</v>
      </c>
      <c r="T1" s="6" t="str">
        <f>'LL1 Parser Table'!V2</f>
        <v>numero_inteiro</v>
      </c>
      <c r="U1" s="6" t="str">
        <f>'LL1 Parser Table'!W2</f>
        <v>inteiro</v>
      </c>
      <c r="V1" s="6" t="str">
        <f>'LL1 Parser Table'!X2</f>
        <v>real</v>
      </c>
      <c r="W1" s="6" t="str">
        <f>'LL1 Parser Table'!Y2</f>
        <v>caractere</v>
      </c>
      <c r="X1" s="6" t="str">
        <f>'LL1 Parser Table'!Z2</f>
        <v>logico</v>
      </c>
      <c r="Y1" s="6" t="str">
        <f>'LL1 Parser Table'!AA2</f>
        <v>inicio</v>
      </c>
      <c r="Z1" s="6" t="str">
        <f>'LL1 Parser Table'!AB2</f>
        <v>fim</v>
      </c>
      <c r="AA1" s="6" t="str">
        <f>'LL1 Parser Table'!AC2</f>
        <v>&lt;-</v>
      </c>
      <c r="AB1" s="6" t="str">
        <f>'LL1 Parser Table'!AD2</f>
        <v>se</v>
      </c>
      <c r="AC1" s="6" t="str">
        <f>'LL1 Parser Table'!AE2</f>
        <v>entao</v>
      </c>
      <c r="AD1" s="6" t="str">
        <f>'LL1 Parser Table'!AF2</f>
        <v>senao</v>
      </c>
      <c r="AE1" s="6" t="str">
        <f>'LL1 Parser Table'!AG2</f>
        <v>enquanto</v>
      </c>
      <c r="AF1" s="6" t="str">
        <f>'LL1 Parser Table'!AH2</f>
        <v>faca</v>
      </c>
      <c r="AG1" s="6" t="str">
        <f>'LL1 Parser Table'!AI2</f>
        <v>para</v>
      </c>
      <c r="AH1" s="6" t="str">
        <f>'LL1 Parser Table'!AJ2</f>
        <v>de</v>
      </c>
      <c r="AI1" s="6" t="str">
        <f>'LL1 Parser Table'!AK2</f>
        <v>ate</v>
      </c>
      <c r="AJ1" s="6" t="str">
        <f>'LL1 Parser Table'!AL2</f>
        <v>passo</v>
      </c>
      <c r="AK1" s="6" t="str">
        <f>'LL1 Parser Table'!AM2</f>
        <v>repita</v>
      </c>
      <c r="AL1" s="6" t="str">
        <f>'LL1 Parser Table'!AN2</f>
        <v>leia</v>
      </c>
      <c r="AM1" s="6" t="str">
        <f>'LL1 Parser Table'!AO2</f>
        <v>imprima</v>
      </c>
      <c r="AN1" s="6" t="str">
        <f>'LL1 Parser Table'!AP2</f>
        <v>&lt;&gt;</v>
      </c>
      <c r="AO1" s="6" t="str">
        <f>'LL1 Parser Table'!AQ2</f>
        <v>&lt;</v>
      </c>
      <c r="AP1" s="6" t="str">
        <f>'LL1 Parser Table'!AR2</f>
        <v>&lt;=</v>
      </c>
      <c r="AQ1" s="6" t="str">
        <f>'LL1 Parser Table'!AS2</f>
        <v>&gt;=</v>
      </c>
      <c r="AR1" s="6" t="str">
        <f>'LL1 Parser Table'!AT2</f>
        <v>&gt;</v>
      </c>
      <c r="AS1" s="6" t="str">
        <f>'LL1 Parser Table'!AU2</f>
        <v>+</v>
      </c>
      <c r="AT1" s="6" t="str">
        <f>'LL1 Parser Table'!AV2</f>
        <v>-</v>
      </c>
      <c r="AU1" s="6" t="str">
        <f>'LL1 Parser Table'!AW2</f>
        <v>ou</v>
      </c>
      <c r="AV1" s="6" t="str">
        <f>'LL1 Parser Table'!AX2</f>
        <v>*</v>
      </c>
      <c r="AW1" s="6" t="str">
        <f>'LL1 Parser Table'!AY2</f>
        <v>/</v>
      </c>
      <c r="AX1" s="6" t="str">
        <f>'LL1 Parser Table'!AZ2</f>
        <v>div</v>
      </c>
      <c r="AY1" s="6" t="str">
        <f>'LL1 Parser Table'!BA2</f>
        <v>e</v>
      </c>
      <c r="AZ1" s="6" t="str">
        <f>'LL1 Parser Table'!BB2</f>
        <v>nao</v>
      </c>
      <c r="BA1" s="6" t="str">
        <f>'LL1 Parser Table'!BC2</f>
        <v>numero_real</v>
      </c>
      <c r="BB1" s="6" t="b">
        <f>'LL1 Parser Table'!BD2</f>
        <v>1</v>
      </c>
      <c r="BC1" s="6" t="b">
        <f>'LL1 Parser Table'!BE2</f>
        <v>0</v>
      </c>
      <c r="BD1" s="6" t="str">
        <f>'LL1 Parser Table'!BF2</f>
        <v>string</v>
      </c>
      <c r="BE1" s="6" t="str">
        <f>'LL1 Parser Table'!BG2</f>
        <v>$</v>
      </c>
    </row>
    <row r="2" spans="1:57" x14ac:dyDescent="0.35">
      <c r="A2">
        <v>1</v>
      </c>
      <c r="B2" s="8" t="str">
        <f>'LL1 Parser Table'!D3</f>
        <v>Programa</v>
      </c>
      <c r="C2" t="str">
        <f>IF(ISBLANK('LL1 Parser Table'!E3),"ERRO",'LL1 Parser Table'!E3)</f>
        <v>Programa -&gt; algoritmo identificador ; BlocoVariaveis ProcedimentoFuncao BlocoComandos .</v>
      </c>
      <c r="D2" t="str">
        <f>IF(ISBLANK('LL1 Parser Table'!F3),"ERRO",'LL1 Parser Table'!F3)</f>
        <v>ERRO</v>
      </c>
      <c r="E2" t="str">
        <f>IF(ISBLANK('LL1 Parser Table'!G3),"ERRO",'LL1 Parser Table'!G3)</f>
        <v>ERRO</v>
      </c>
      <c r="F2" t="str">
        <f>IF(ISBLANK('LL1 Parser Table'!H3),"ERRO",'LL1 Parser Table'!H3)</f>
        <v>ERRO</v>
      </c>
      <c r="G2" t="str">
        <f>IF(ISBLANK('LL1 Parser Table'!I3),"ERRO",'LL1 Parser Table'!I3)</f>
        <v>ERRO</v>
      </c>
      <c r="H2" t="str">
        <f>IF(ISBLANK('LL1 Parser Table'!J3),"ERRO",'LL1 Parser Table'!J3)</f>
        <v>ERRO</v>
      </c>
      <c r="I2" t="str">
        <f>IF(ISBLANK('LL1 Parser Table'!K3),"ERRO",'LL1 Parser Table'!K3)</f>
        <v>ERRO</v>
      </c>
      <c r="J2" t="str">
        <f>IF(ISBLANK('LL1 Parser Table'!L3),"ERRO",'LL1 Parser Table'!L3)</f>
        <v>ERRO</v>
      </c>
      <c r="K2" t="str">
        <f>IF(ISBLANK('LL1 Parser Table'!M3),"ERRO",'LL1 Parser Table'!M3)</f>
        <v>ERRO</v>
      </c>
      <c r="L2" t="str">
        <f>IF(ISBLANK('LL1 Parser Table'!N3),"ERRO",'LL1 Parser Table'!N3)</f>
        <v>ERRO</v>
      </c>
      <c r="M2" t="str">
        <f>IF(ISBLANK('LL1 Parser Table'!O3),"ERRO",'LL1 Parser Table'!O3)</f>
        <v>ERRO</v>
      </c>
      <c r="N2" t="str">
        <f>IF(ISBLANK('LL1 Parser Table'!P3),"ERRO",'LL1 Parser Table'!P3)</f>
        <v>ERRO</v>
      </c>
      <c r="O2" t="str">
        <f>IF(ISBLANK('LL1 Parser Table'!Q3),"ERRO",'LL1 Parser Table'!Q3)</f>
        <v>ERRO</v>
      </c>
      <c r="P2" t="str">
        <f>IF(ISBLANK('LL1 Parser Table'!R3),"ERRO",'LL1 Parser Table'!R3)</f>
        <v>ERRO</v>
      </c>
      <c r="Q2" t="str">
        <f>IF(ISBLANK('LL1 Parser Table'!S3),"ERRO",'LL1 Parser Table'!S3)</f>
        <v>ERRO</v>
      </c>
      <c r="R2" t="str">
        <f>IF(ISBLANK('LL1 Parser Table'!T3),"ERRO",'LL1 Parser Table'!T3)</f>
        <v>ERRO</v>
      </c>
      <c r="S2" t="str">
        <f>IF(ISBLANK('LL1 Parser Table'!U3),"ERRO",'LL1 Parser Table'!U3)</f>
        <v>ERRO</v>
      </c>
      <c r="T2" t="str">
        <f>IF(ISBLANK('LL1 Parser Table'!V3),"ERRO",'LL1 Parser Table'!V3)</f>
        <v>ERRO</v>
      </c>
      <c r="U2" t="str">
        <f>IF(ISBLANK('LL1 Parser Table'!W3),"ERRO",'LL1 Parser Table'!W3)</f>
        <v>ERRO</v>
      </c>
      <c r="V2" t="str">
        <f>IF(ISBLANK('LL1 Parser Table'!X3),"ERRO",'LL1 Parser Table'!X3)</f>
        <v>ERRO</v>
      </c>
      <c r="W2" t="str">
        <f>IF(ISBLANK('LL1 Parser Table'!Y3),"ERRO",'LL1 Parser Table'!Y3)</f>
        <v>ERRO</v>
      </c>
      <c r="X2" t="str">
        <f>IF(ISBLANK('LL1 Parser Table'!Z3),"ERRO",'LL1 Parser Table'!Z3)</f>
        <v>ERRO</v>
      </c>
      <c r="Y2" t="str">
        <f>IF(ISBLANK('LL1 Parser Table'!AA3),"ERRO",'LL1 Parser Table'!AA3)</f>
        <v>ERRO</v>
      </c>
      <c r="Z2" t="str">
        <f>IF(ISBLANK('LL1 Parser Table'!AB3),"ERRO",'LL1 Parser Table'!AB3)</f>
        <v>ERRO</v>
      </c>
      <c r="AA2" t="str">
        <f>IF(ISBLANK('LL1 Parser Table'!AC3),"ERRO",'LL1 Parser Table'!AC3)</f>
        <v>ERRO</v>
      </c>
      <c r="AB2" t="str">
        <f>IF(ISBLANK('LL1 Parser Table'!AD3),"ERRO",'LL1 Parser Table'!AD3)</f>
        <v>ERRO</v>
      </c>
      <c r="AC2" t="str">
        <f>IF(ISBLANK('LL1 Parser Table'!AE3),"ERRO",'LL1 Parser Table'!AE3)</f>
        <v>ERRO</v>
      </c>
      <c r="AD2" t="str">
        <f>IF(ISBLANK('LL1 Parser Table'!AF3),"ERRO",'LL1 Parser Table'!AF3)</f>
        <v>ERRO</v>
      </c>
      <c r="AE2" t="str">
        <f>IF(ISBLANK('LL1 Parser Table'!AG3),"ERRO",'LL1 Parser Table'!AG3)</f>
        <v>ERRO</v>
      </c>
      <c r="AF2" t="str">
        <f>IF(ISBLANK('LL1 Parser Table'!AH3),"ERRO",'LL1 Parser Table'!AH3)</f>
        <v>ERRO</v>
      </c>
      <c r="AG2" t="str">
        <f>IF(ISBLANK('LL1 Parser Table'!AI3),"ERRO",'LL1 Parser Table'!AI3)</f>
        <v>ERRO</v>
      </c>
      <c r="AH2" t="str">
        <f>IF(ISBLANK('LL1 Parser Table'!AJ3),"ERRO",'LL1 Parser Table'!AJ3)</f>
        <v>ERRO</v>
      </c>
      <c r="AI2" t="str">
        <f>IF(ISBLANK('LL1 Parser Table'!AK3),"ERRO",'LL1 Parser Table'!AK3)</f>
        <v>ERRO</v>
      </c>
      <c r="AJ2" t="str">
        <f>IF(ISBLANK('LL1 Parser Table'!AL3),"ERRO",'LL1 Parser Table'!AL3)</f>
        <v>ERRO</v>
      </c>
      <c r="AK2" t="str">
        <f>IF(ISBLANK('LL1 Parser Table'!AM3),"ERRO",'LL1 Parser Table'!AM3)</f>
        <v>ERRO</v>
      </c>
      <c r="AL2" t="str">
        <f>IF(ISBLANK('LL1 Parser Table'!AN3),"ERRO",'LL1 Parser Table'!AN3)</f>
        <v>ERRO</v>
      </c>
      <c r="AM2" t="str">
        <f>IF(ISBLANK('LL1 Parser Table'!AO3),"ERRO",'LL1 Parser Table'!AO3)</f>
        <v>ERRO</v>
      </c>
      <c r="AN2" t="str">
        <f>IF(ISBLANK('LL1 Parser Table'!AP3),"ERRO",'LL1 Parser Table'!AP3)</f>
        <v>ERRO</v>
      </c>
      <c r="AO2" t="str">
        <f>IF(ISBLANK('LL1 Parser Table'!AQ3),"ERRO",'LL1 Parser Table'!AQ3)</f>
        <v>ERRO</v>
      </c>
      <c r="AP2" t="str">
        <f>IF(ISBLANK('LL1 Parser Table'!AR3),"ERRO",'LL1 Parser Table'!AR3)</f>
        <v>ERRO</v>
      </c>
      <c r="AQ2" t="str">
        <f>IF(ISBLANK('LL1 Parser Table'!AS3),"ERRO",'LL1 Parser Table'!AS3)</f>
        <v>ERRO</v>
      </c>
      <c r="AR2" t="str">
        <f>IF(ISBLANK('LL1 Parser Table'!AT3),"ERRO",'LL1 Parser Table'!AT3)</f>
        <v>ERRO</v>
      </c>
      <c r="AS2" t="str">
        <f>IF(ISBLANK('LL1 Parser Table'!AU3),"ERRO",'LL1 Parser Table'!AU3)</f>
        <v>ERRO</v>
      </c>
      <c r="AT2" t="str">
        <f>IF(ISBLANK('LL1 Parser Table'!AV3),"ERRO",'LL1 Parser Table'!AV3)</f>
        <v>ERRO</v>
      </c>
      <c r="AU2" t="str">
        <f>IF(ISBLANK('LL1 Parser Table'!AW3),"ERRO",'LL1 Parser Table'!AW3)</f>
        <v>ERRO</v>
      </c>
      <c r="AV2" t="str">
        <f>IF(ISBLANK('LL1 Parser Table'!AX3),"ERRO",'LL1 Parser Table'!AX3)</f>
        <v>ERRO</v>
      </c>
      <c r="AW2" t="str">
        <f>IF(ISBLANK('LL1 Parser Table'!AY3),"ERRO",'LL1 Parser Table'!AY3)</f>
        <v>ERRO</v>
      </c>
      <c r="AX2" t="str">
        <f>IF(ISBLANK('LL1 Parser Table'!AZ3),"ERRO",'LL1 Parser Table'!AZ3)</f>
        <v>ERRO</v>
      </c>
      <c r="AY2" t="str">
        <f>IF(ISBLANK('LL1 Parser Table'!BA3),"ERRO",'LL1 Parser Table'!BA3)</f>
        <v>ERRO</v>
      </c>
      <c r="AZ2" t="str">
        <f>IF(ISBLANK('LL1 Parser Table'!BB3),"ERRO",'LL1 Parser Table'!BB3)</f>
        <v>ERRO</v>
      </c>
      <c r="BA2" t="str">
        <f>IF(ISBLANK('LL1 Parser Table'!BC3),"ERRO",'LL1 Parser Table'!BC3)</f>
        <v>ERRO</v>
      </c>
      <c r="BB2" t="str">
        <f>IF(ISBLANK('LL1 Parser Table'!BD3),"ERRO",'LL1 Parser Table'!BD3)</f>
        <v>ERRO</v>
      </c>
      <c r="BC2" t="str">
        <f>IF(ISBLANK('LL1 Parser Table'!BE3),"ERRO",'LL1 Parser Table'!BE3)</f>
        <v>ERRO</v>
      </c>
      <c r="BD2" t="str">
        <f>IF(ISBLANK('LL1 Parser Table'!BF3),"ERRO",'LL1 Parser Table'!BF3)</f>
        <v>ERRO</v>
      </c>
      <c r="BE2" t="str">
        <f>IF(ISBLANK('LL1 Parser Table'!BG3),"ERRO",'LL1 Parser Table'!BG3)</f>
        <v>ERRO</v>
      </c>
    </row>
    <row r="3" spans="1:57" x14ac:dyDescent="0.35">
      <c r="A3">
        <v>2</v>
      </c>
      <c r="B3" s="8" t="str">
        <f>'LL1 Parser Table'!D4</f>
        <v>ProcedimentoFuncao</v>
      </c>
      <c r="C3" t="str">
        <f>IF(ISBLANK('LL1 Parser Table'!E4),"ERRO",'LL1 Parser Table'!E4)</f>
        <v>ERRO</v>
      </c>
      <c r="D3" t="str">
        <f>IF(ISBLANK('LL1 Parser Table'!F4),"ERRO",'LL1 Parser Table'!F4)</f>
        <v>ERRO</v>
      </c>
      <c r="E3" t="str">
        <f>IF(ISBLANK('LL1 Parser Table'!G4),"ERRO",'LL1 Parser Table'!G4)</f>
        <v>ERRO</v>
      </c>
      <c r="F3" t="str">
        <f>IF(ISBLANK('LL1 Parser Table'!H4),"ERRO",'LL1 Parser Table'!H4)</f>
        <v>ERRO</v>
      </c>
      <c r="G3" t="str">
        <f>IF(ISBLANK('LL1 Parser Table'!I4),"ERRO",'LL1 Parser Table'!I4)</f>
        <v>ProcedimentoFuncao -&gt; DeclaraProcedimento ProcedimentoFuncao</v>
      </c>
      <c r="H3" t="str">
        <f>IF(ISBLANK('LL1 Parser Table'!J4),"ERRO",'LL1 Parser Table'!J4)</f>
        <v>ProcedimentoFuncao -&gt; DeclaraFuncao ProcedimentoFuncao</v>
      </c>
      <c r="I3" t="str">
        <f>IF(ISBLANK('LL1 Parser Table'!K4),"ERRO",'LL1 Parser Table'!K4)</f>
        <v>ERRO</v>
      </c>
      <c r="J3" t="str">
        <f>IF(ISBLANK('LL1 Parser Table'!L4),"ERRO",'LL1 Parser Table'!L4)</f>
        <v>ERRO</v>
      </c>
      <c r="K3" t="str">
        <f>IF(ISBLANK('LL1 Parser Table'!M4),"ERRO",'LL1 Parser Table'!M4)</f>
        <v>ERRO</v>
      </c>
      <c r="L3" t="str">
        <f>IF(ISBLANK('LL1 Parser Table'!N4),"ERRO",'LL1 Parser Table'!N4)</f>
        <v>ERRO</v>
      </c>
      <c r="M3" t="str">
        <f>IF(ISBLANK('LL1 Parser Table'!O4),"ERRO",'LL1 Parser Table'!O4)</f>
        <v>ERRO</v>
      </c>
      <c r="N3" t="str">
        <f>IF(ISBLANK('LL1 Parser Table'!P4),"ERRO",'LL1 Parser Table'!P4)</f>
        <v>ERRO</v>
      </c>
      <c r="O3" t="str">
        <f>IF(ISBLANK('LL1 Parser Table'!Q4),"ERRO",'LL1 Parser Table'!Q4)</f>
        <v>ERRO</v>
      </c>
      <c r="P3" t="str">
        <f>IF(ISBLANK('LL1 Parser Table'!R4),"ERRO",'LL1 Parser Table'!R4)</f>
        <v>ERRO</v>
      </c>
      <c r="Q3" t="str">
        <f>IF(ISBLANK('LL1 Parser Table'!S4),"ERRO",'LL1 Parser Table'!S4)</f>
        <v>ERRO</v>
      </c>
      <c r="R3" t="str">
        <f>IF(ISBLANK('LL1 Parser Table'!T4),"ERRO",'LL1 Parser Table'!T4)</f>
        <v>ERRO</v>
      </c>
      <c r="S3" t="str">
        <f>IF(ISBLANK('LL1 Parser Table'!U4),"ERRO",'LL1 Parser Table'!U4)</f>
        <v>ERRO</v>
      </c>
      <c r="T3" t="str">
        <f>IF(ISBLANK('LL1 Parser Table'!V4),"ERRO",'LL1 Parser Table'!V4)</f>
        <v>ERRO</v>
      </c>
      <c r="U3" t="str">
        <f>IF(ISBLANK('LL1 Parser Table'!W4),"ERRO",'LL1 Parser Table'!W4)</f>
        <v>ERRO</v>
      </c>
      <c r="V3" t="str">
        <f>IF(ISBLANK('LL1 Parser Table'!X4),"ERRO",'LL1 Parser Table'!X4)</f>
        <v>ERRO</v>
      </c>
      <c r="W3" t="str">
        <f>IF(ISBLANK('LL1 Parser Table'!Y4),"ERRO",'LL1 Parser Table'!Y4)</f>
        <v>ERRO</v>
      </c>
      <c r="X3" t="str">
        <f>IF(ISBLANK('LL1 Parser Table'!Z4),"ERRO",'LL1 Parser Table'!Z4)</f>
        <v>ERRO</v>
      </c>
      <c r="Y3" t="str">
        <f>IF(ISBLANK('LL1 Parser Table'!AA4),"ERRO",'LL1 Parser Table'!AA4)</f>
        <v>ProcedimentoFuncao -&gt; ''</v>
      </c>
      <c r="Z3" t="str">
        <f>IF(ISBLANK('LL1 Parser Table'!AB4),"ERRO",'LL1 Parser Table'!AB4)</f>
        <v>ERRO</v>
      </c>
      <c r="AA3" t="str">
        <f>IF(ISBLANK('LL1 Parser Table'!AC4),"ERRO",'LL1 Parser Table'!AC4)</f>
        <v>ERRO</v>
      </c>
      <c r="AB3" t="str">
        <f>IF(ISBLANK('LL1 Parser Table'!AD4),"ERRO",'LL1 Parser Table'!AD4)</f>
        <v>ERRO</v>
      </c>
      <c r="AC3" t="str">
        <f>IF(ISBLANK('LL1 Parser Table'!AE4),"ERRO",'LL1 Parser Table'!AE4)</f>
        <v>ERRO</v>
      </c>
      <c r="AD3" t="str">
        <f>IF(ISBLANK('LL1 Parser Table'!AF4),"ERRO",'LL1 Parser Table'!AF4)</f>
        <v>ERRO</v>
      </c>
      <c r="AE3" t="str">
        <f>IF(ISBLANK('LL1 Parser Table'!AG4),"ERRO",'LL1 Parser Table'!AG4)</f>
        <v>ERRO</v>
      </c>
      <c r="AF3" t="str">
        <f>IF(ISBLANK('LL1 Parser Table'!AH4),"ERRO",'LL1 Parser Table'!AH4)</f>
        <v>ERRO</v>
      </c>
      <c r="AG3" t="str">
        <f>IF(ISBLANK('LL1 Parser Table'!AI4),"ERRO",'LL1 Parser Table'!AI4)</f>
        <v>ERRO</v>
      </c>
      <c r="AH3" t="str">
        <f>IF(ISBLANK('LL1 Parser Table'!AJ4),"ERRO",'LL1 Parser Table'!AJ4)</f>
        <v>ERRO</v>
      </c>
      <c r="AI3" t="str">
        <f>IF(ISBLANK('LL1 Parser Table'!AK4),"ERRO",'LL1 Parser Table'!AK4)</f>
        <v>ERRO</v>
      </c>
      <c r="AJ3" t="str">
        <f>IF(ISBLANK('LL1 Parser Table'!AL4),"ERRO",'LL1 Parser Table'!AL4)</f>
        <v>ERRO</v>
      </c>
      <c r="AK3" t="str">
        <f>IF(ISBLANK('LL1 Parser Table'!AM4),"ERRO",'LL1 Parser Table'!AM4)</f>
        <v>ERRO</v>
      </c>
      <c r="AL3" t="str">
        <f>IF(ISBLANK('LL1 Parser Table'!AN4),"ERRO",'LL1 Parser Table'!AN4)</f>
        <v>ERRO</v>
      </c>
      <c r="AM3" t="str">
        <f>IF(ISBLANK('LL1 Parser Table'!AO4),"ERRO",'LL1 Parser Table'!AO4)</f>
        <v>ERRO</v>
      </c>
      <c r="AN3" t="str">
        <f>IF(ISBLANK('LL1 Parser Table'!AP4),"ERRO",'LL1 Parser Table'!AP4)</f>
        <v>ERRO</v>
      </c>
      <c r="AO3" t="str">
        <f>IF(ISBLANK('LL1 Parser Table'!AQ4),"ERRO",'LL1 Parser Table'!AQ4)</f>
        <v>ERRO</v>
      </c>
      <c r="AP3" t="str">
        <f>IF(ISBLANK('LL1 Parser Table'!AR4),"ERRO",'LL1 Parser Table'!AR4)</f>
        <v>ERRO</v>
      </c>
      <c r="AQ3" t="str">
        <f>IF(ISBLANK('LL1 Parser Table'!AS4),"ERRO",'LL1 Parser Table'!AS4)</f>
        <v>ERRO</v>
      </c>
      <c r="AR3" t="str">
        <f>IF(ISBLANK('LL1 Parser Table'!AT4),"ERRO",'LL1 Parser Table'!AT4)</f>
        <v>ERRO</v>
      </c>
      <c r="AS3" t="str">
        <f>IF(ISBLANK('LL1 Parser Table'!AU4),"ERRO",'LL1 Parser Table'!AU4)</f>
        <v>ERRO</v>
      </c>
      <c r="AT3" t="str">
        <f>IF(ISBLANK('LL1 Parser Table'!AV4),"ERRO",'LL1 Parser Table'!AV4)</f>
        <v>ERRO</v>
      </c>
      <c r="AU3" t="str">
        <f>IF(ISBLANK('LL1 Parser Table'!AW4),"ERRO",'LL1 Parser Table'!AW4)</f>
        <v>ERRO</v>
      </c>
      <c r="AV3" t="str">
        <f>IF(ISBLANK('LL1 Parser Table'!AX4),"ERRO",'LL1 Parser Table'!AX4)</f>
        <v>ERRO</v>
      </c>
      <c r="AW3" t="str">
        <f>IF(ISBLANK('LL1 Parser Table'!AY4),"ERRO",'LL1 Parser Table'!AY4)</f>
        <v>ERRO</v>
      </c>
      <c r="AX3" t="str">
        <f>IF(ISBLANK('LL1 Parser Table'!AZ4),"ERRO",'LL1 Parser Table'!AZ4)</f>
        <v>ERRO</v>
      </c>
      <c r="AY3" t="str">
        <f>IF(ISBLANK('LL1 Parser Table'!BA4),"ERRO",'LL1 Parser Table'!BA4)</f>
        <v>ERRO</v>
      </c>
      <c r="AZ3" t="str">
        <f>IF(ISBLANK('LL1 Parser Table'!BB4),"ERRO",'LL1 Parser Table'!BB4)</f>
        <v>ERRO</v>
      </c>
      <c r="BA3" t="str">
        <f>IF(ISBLANK('LL1 Parser Table'!BC4),"ERRO",'LL1 Parser Table'!BC4)</f>
        <v>ERRO</v>
      </c>
      <c r="BB3" t="str">
        <f>IF(ISBLANK('LL1 Parser Table'!BD4),"ERRO",'LL1 Parser Table'!BD4)</f>
        <v>ERRO</v>
      </c>
      <c r="BC3" t="str">
        <f>IF(ISBLANK('LL1 Parser Table'!BE4),"ERRO",'LL1 Parser Table'!BE4)</f>
        <v>ERRO</v>
      </c>
      <c r="BD3" t="str">
        <f>IF(ISBLANK('LL1 Parser Table'!BF4),"ERRO",'LL1 Parser Table'!BF4)</f>
        <v>ERRO</v>
      </c>
      <c r="BE3" t="str">
        <f>IF(ISBLANK('LL1 Parser Table'!BG4),"ERRO",'LL1 Parser Table'!BG4)</f>
        <v>ERRO</v>
      </c>
    </row>
    <row r="4" spans="1:57" x14ac:dyDescent="0.35">
      <c r="A4">
        <v>3</v>
      </c>
      <c r="B4" s="8" t="str">
        <f>'LL1 Parser Table'!D5</f>
        <v>DeclaraProcedimento</v>
      </c>
      <c r="C4" t="str">
        <f>IF(ISBLANK('LL1 Parser Table'!E5),"ERRO",'LL1 Parser Table'!E5)</f>
        <v>ERRO</v>
      </c>
      <c r="D4" t="str">
        <f>IF(ISBLANK('LL1 Parser Table'!F5),"ERRO",'LL1 Parser Table'!F5)</f>
        <v>ERRO</v>
      </c>
      <c r="E4" t="str">
        <f>IF(ISBLANK('LL1 Parser Table'!G5),"ERRO",'LL1 Parser Table'!G5)</f>
        <v>ERRO</v>
      </c>
      <c r="F4" t="str">
        <f>IF(ISBLANK('LL1 Parser Table'!H5),"ERRO",'LL1 Parser Table'!H5)</f>
        <v>ERRO</v>
      </c>
      <c r="G4" t="str">
        <f>IF(ISBLANK('LL1 Parser Table'!I5),"ERRO",'LL1 Parser Table'!I5)</f>
        <v>DeclaraProcedimento -&gt; procedimento identificador Parametros ; DeclaraParametros BlocoVariaveis BlocoComandos ;</v>
      </c>
      <c r="H4" t="str">
        <f>IF(ISBLANK('LL1 Parser Table'!J5),"ERRO",'LL1 Parser Table'!J5)</f>
        <v>ERRO</v>
      </c>
      <c r="I4" t="str">
        <f>IF(ISBLANK('LL1 Parser Table'!K5),"ERRO",'LL1 Parser Table'!K5)</f>
        <v>ERRO</v>
      </c>
      <c r="J4" t="str">
        <f>IF(ISBLANK('LL1 Parser Table'!L5),"ERRO",'LL1 Parser Table'!L5)</f>
        <v>ERRO</v>
      </c>
      <c r="K4" t="str">
        <f>IF(ISBLANK('LL1 Parser Table'!M5),"ERRO",'LL1 Parser Table'!M5)</f>
        <v>ERRO</v>
      </c>
      <c r="L4" t="str">
        <f>IF(ISBLANK('LL1 Parser Table'!N5),"ERRO",'LL1 Parser Table'!N5)</f>
        <v>ERRO</v>
      </c>
      <c r="M4" t="str">
        <f>IF(ISBLANK('LL1 Parser Table'!O5),"ERRO",'LL1 Parser Table'!O5)</f>
        <v>ERRO</v>
      </c>
      <c r="N4" t="str">
        <f>IF(ISBLANK('LL1 Parser Table'!P5),"ERRO",'LL1 Parser Table'!P5)</f>
        <v>ERRO</v>
      </c>
      <c r="O4" t="str">
        <f>IF(ISBLANK('LL1 Parser Table'!Q5),"ERRO",'LL1 Parser Table'!Q5)</f>
        <v>ERRO</v>
      </c>
      <c r="P4" t="str">
        <f>IF(ISBLANK('LL1 Parser Table'!R5),"ERRO",'LL1 Parser Table'!R5)</f>
        <v>ERRO</v>
      </c>
      <c r="Q4" t="str">
        <f>IF(ISBLANK('LL1 Parser Table'!S5),"ERRO",'LL1 Parser Table'!S5)</f>
        <v>ERRO</v>
      </c>
      <c r="R4" t="str">
        <f>IF(ISBLANK('LL1 Parser Table'!T5),"ERRO",'LL1 Parser Table'!T5)</f>
        <v>ERRO</v>
      </c>
      <c r="S4" t="str">
        <f>IF(ISBLANK('LL1 Parser Table'!U5),"ERRO",'LL1 Parser Table'!U5)</f>
        <v>ERRO</v>
      </c>
      <c r="T4" t="str">
        <f>IF(ISBLANK('LL1 Parser Table'!V5),"ERRO",'LL1 Parser Table'!V5)</f>
        <v>ERRO</v>
      </c>
      <c r="U4" t="str">
        <f>IF(ISBLANK('LL1 Parser Table'!W5),"ERRO",'LL1 Parser Table'!W5)</f>
        <v>ERRO</v>
      </c>
      <c r="V4" t="str">
        <f>IF(ISBLANK('LL1 Parser Table'!X5),"ERRO",'LL1 Parser Table'!X5)</f>
        <v>ERRO</v>
      </c>
      <c r="W4" t="str">
        <f>IF(ISBLANK('LL1 Parser Table'!Y5),"ERRO",'LL1 Parser Table'!Y5)</f>
        <v>ERRO</v>
      </c>
      <c r="X4" t="str">
        <f>IF(ISBLANK('LL1 Parser Table'!Z5),"ERRO",'LL1 Parser Table'!Z5)</f>
        <v>ERRO</v>
      </c>
      <c r="Y4" t="str">
        <f>IF(ISBLANK('LL1 Parser Table'!AA5),"ERRO",'LL1 Parser Table'!AA5)</f>
        <v>ERRO</v>
      </c>
      <c r="Z4" t="str">
        <f>IF(ISBLANK('LL1 Parser Table'!AB5),"ERRO",'LL1 Parser Table'!AB5)</f>
        <v>ERRO</v>
      </c>
      <c r="AA4" t="str">
        <f>IF(ISBLANK('LL1 Parser Table'!AC5),"ERRO",'LL1 Parser Table'!AC5)</f>
        <v>ERRO</v>
      </c>
      <c r="AB4" t="str">
        <f>IF(ISBLANK('LL1 Parser Table'!AD5),"ERRO",'LL1 Parser Table'!AD5)</f>
        <v>ERRO</v>
      </c>
      <c r="AC4" t="str">
        <f>IF(ISBLANK('LL1 Parser Table'!AE5),"ERRO",'LL1 Parser Table'!AE5)</f>
        <v>ERRO</v>
      </c>
      <c r="AD4" t="str">
        <f>IF(ISBLANK('LL1 Parser Table'!AF5),"ERRO",'LL1 Parser Table'!AF5)</f>
        <v>ERRO</v>
      </c>
      <c r="AE4" t="str">
        <f>IF(ISBLANK('LL1 Parser Table'!AG5),"ERRO",'LL1 Parser Table'!AG5)</f>
        <v>ERRO</v>
      </c>
      <c r="AF4" t="str">
        <f>IF(ISBLANK('LL1 Parser Table'!AH5),"ERRO",'LL1 Parser Table'!AH5)</f>
        <v>ERRO</v>
      </c>
      <c r="AG4" t="str">
        <f>IF(ISBLANK('LL1 Parser Table'!AI5),"ERRO",'LL1 Parser Table'!AI5)</f>
        <v>ERRO</v>
      </c>
      <c r="AH4" t="str">
        <f>IF(ISBLANK('LL1 Parser Table'!AJ5),"ERRO",'LL1 Parser Table'!AJ5)</f>
        <v>ERRO</v>
      </c>
      <c r="AI4" t="str">
        <f>IF(ISBLANK('LL1 Parser Table'!AK5),"ERRO",'LL1 Parser Table'!AK5)</f>
        <v>ERRO</v>
      </c>
      <c r="AJ4" t="str">
        <f>IF(ISBLANK('LL1 Parser Table'!AL5),"ERRO",'LL1 Parser Table'!AL5)</f>
        <v>ERRO</v>
      </c>
      <c r="AK4" t="str">
        <f>IF(ISBLANK('LL1 Parser Table'!AM5),"ERRO",'LL1 Parser Table'!AM5)</f>
        <v>ERRO</v>
      </c>
      <c r="AL4" t="str">
        <f>IF(ISBLANK('LL1 Parser Table'!AN5),"ERRO",'LL1 Parser Table'!AN5)</f>
        <v>ERRO</v>
      </c>
      <c r="AM4" t="str">
        <f>IF(ISBLANK('LL1 Parser Table'!AO5),"ERRO",'LL1 Parser Table'!AO5)</f>
        <v>ERRO</v>
      </c>
      <c r="AN4" t="str">
        <f>IF(ISBLANK('LL1 Parser Table'!AP5),"ERRO",'LL1 Parser Table'!AP5)</f>
        <v>ERRO</v>
      </c>
      <c r="AO4" t="str">
        <f>IF(ISBLANK('LL1 Parser Table'!AQ5),"ERRO",'LL1 Parser Table'!AQ5)</f>
        <v>ERRO</v>
      </c>
      <c r="AP4" t="str">
        <f>IF(ISBLANK('LL1 Parser Table'!AR5),"ERRO",'LL1 Parser Table'!AR5)</f>
        <v>ERRO</v>
      </c>
      <c r="AQ4" t="str">
        <f>IF(ISBLANK('LL1 Parser Table'!AS5),"ERRO",'LL1 Parser Table'!AS5)</f>
        <v>ERRO</v>
      </c>
      <c r="AR4" t="str">
        <f>IF(ISBLANK('LL1 Parser Table'!AT5),"ERRO",'LL1 Parser Table'!AT5)</f>
        <v>ERRO</v>
      </c>
      <c r="AS4" t="str">
        <f>IF(ISBLANK('LL1 Parser Table'!AU5),"ERRO",'LL1 Parser Table'!AU5)</f>
        <v>ERRO</v>
      </c>
      <c r="AT4" t="str">
        <f>IF(ISBLANK('LL1 Parser Table'!AV5),"ERRO",'LL1 Parser Table'!AV5)</f>
        <v>ERRO</v>
      </c>
      <c r="AU4" t="str">
        <f>IF(ISBLANK('LL1 Parser Table'!AW5),"ERRO",'LL1 Parser Table'!AW5)</f>
        <v>ERRO</v>
      </c>
      <c r="AV4" t="str">
        <f>IF(ISBLANK('LL1 Parser Table'!AX5),"ERRO",'LL1 Parser Table'!AX5)</f>
        <v>ERRO</v>
      </c>
      <c r="AW4" t="str">
        <f>IF(ISBLANK('LL1 Parser Table'!AY5),"ERRO",'LL1 Parser Table'!AY5)</f>
        <v>ERRO</v>
      </c>
      <c r="AX4" t="str">
        <f>IF(ISBLANK('LL1 Parser Table'!AZ5),"ERRO",'LL1 Parser Table'!AZ5)</f>
        <v>ERRO</v>
      </c>
      <c r="AY4" t="str">
        <f>IF(ISBLANK('LL1 Parser Table'!BA5),"ERRO",'LL1 Parser Table'!BA5)</f>
        <v>ERRO</v>
      </c>
      <c r="AZ4" t="str">
        <f>IF(ISBLANK('LL1 Parser Table'!BB5),"ERRO",'LL1 Parser Table'!BB5)</f>
        <v>ERRO</v>
      </c>
      <c r="BA4" t="str">
        <f>IF(ISBLANK('LL1 Parser Table'!BC5),"ERRO",'LL1 Parser Table'!BC5)</f>
        <v>ERRO</v>
      </c>
      <c r="BB4" t="str">
        <f>IF(ISBLANK('LL1 Parser Table'!BD5),"ERRO",'LL1 Parser Table'!BD5)</f>
        <v>ERRO</v>
      </c>
      <c r="BC4" t="str">
        <f>IF(ISBLANK('LL1 Parser Table'!BE5),"ERRO",'LL1 Parser Table'!BE5)</f>
        <v>ERRO</v>
      </c>
      <c r="BD4" t="str">
        <f>IF(ISBLANK('LL1 Parser Table'!BF5),"ERRO",'LL1 Parser Table'!BF5)</f>
        <v>ERRO</v>
      </c>
      <c r="BE4" t="str">
        <f>IF(ISBLANK('LL1 Parser Table'!BG5),"ERRO",'LL1 Parser Table'!BG5)</f>
        <v>ERRO</v>
      </c>
    </row>
    <row r="5" spans="1:57" x14ac:dyDescent="0.35">
      <c r="A5">
        <v>4</v>
      </c>
      <c r="B5" s="8" t="str">
        <f>'LL1 Parser Table'!D6</f>
        <v>DeclaraFuncao</v>
      </c>
      <c r="C5" t="str">
        <f>IF(ISBLANK('LL1 Parser Table'!E6),"ERRO",'LL1 Parser Table'!E6)</f>
        <v>ERRO</v>
      </c>
      <c r="D5" t="str">
        <f>IF(ISBLANK('LL1 Parser Table'!F6),"ERRO",'LL1 Parser Table'!F6)</f>
        <v>ERRO</v>
      </c>
      <c r="E5" t="str">
        <f>IF(ISBLANK('LL1 Parser Table'!G6),"ERRO",'LL1 Parser Table'!G6)</f>
        <v>ERRO</v>
      </c>
      <c r="F5" t="str">
        <f>IF(ISBLANK('LL1 Parser Table'!H6),"ERRO",'LL1 Parser Table'!H6)</f>
        <v>ERRO</v>
      </c>
      <c r="G5" t="str">
        <f>IF(ISBLANK('LL1 Parser Table'!I6),"ERRO",'LL1 Parser Table'!I6)</f>
        <v>ERRO</v>
      </c>
      <c r="H5" t="str">
        <f>IF(ISBLANK('LL1 Parser Table'!J6),"ERRO",'LL1 Parser Table'!J6)</f>
        <v>DeclaraFuncao -&gt; funcao identificador Parametros : TipoBasico ; DeclaraParametros BlocoVariaveis BlocoComandos ;</v>
      </c>
      <c r="I5" t="str">
        <f>IF(ISBLANK('LL1 Parser Table'!K6),"ERRO",'LL1 Parser Table'!K6)</f>
        <v>ERRO</v>
      </c>
      <c r="J5" t="str">
        <f>IF(ISBLANK('LL1 Parser Table'!L6),"ERRO",'LL1 Parser Table'!L6)</f>
        <v>ERRO</v>
      </c>
      <c r="K5" t="str">
        <f>IF(ISBLANK('LL1 Parser Table'!M6),"ERRO",'LL1 Parser Table'!M6)</f>
        <v>ERRO</v>
      </c>
      <c r="L5" t="str">
        <f>IF(ISBLANK('LL1 Parser Table'!N6),"ERRO",'LL1 Parser Table'!N6)</f>
        <v>ERRO</v>
      </c>
      <c r="M5" t="str">
        <f>IF(ISBLANK('LL1 Parser Table'!O6),"ERRO",'LL1 Parser Table'!O6)</f>
        <v>ERRO</v>
      </c>
      <c r="N5" t="str">
        <f>IF(ISBLANK('LL1 Parser Table'!P6),"ERRO",'LL1 Parser Table'!P6)</f>
        <v>ERRO</v>
      </c>
      <c r="O5" t="str">
        <f>IF(ISBLANK('LL1 Parser Table'!Q6),"ERRO",'LL1 Parser Table'!Q6)</f>
        <v>ERRO</v>
      </c>
      <c r="P5" t="str">
        <f>IF(ISBLANK('LL1 Parser Table'!R6),"ERRO",'LL1 Parser Table'!R6)</f>
        <v>ERRO</v>
      </c>
      <c r="Q5" t="str">
        <f>IF(ISBLANK('LL1 Parser Table'!S6),"ERRO",'LL1 Parser Table'!S6)</f>
        <v>ERRO</v>
      </c>
      <c r="R5" t="str">
        <f>IF(ISBLANK('LL1 Parser Table'!T6),"ERRO",'LL1 Parser Table'!T6)</f>
        <v>ERRO</v>
      </c>
      <c r="S5" t="str">
        <f>IF(ISBLANK('LL1 Parser Table'!U6),"ERRO",'LL1 Parser Table'!U6)</f>
        <v>ERRO</v>
      </c>
      <c r="T5" t="str">
        <f>IF(ISBLANK('LL1 Parser Table'!V6),"ERRO",'LL1 Parser Table'!V6)</f>
        <v>ERRO</v>
      </c>
      <c r="U5" t="str">
        <f>IF(ISBLANK('LL1 Parser Table'!W6),"ERRO",'LL1 Parser Table'!W6)</f>
        <v>ERRO</v>
      </c>
      <c r="V5" t="str">
        <f>IF(ISBLANK('LL1 Parser Table'!X6),"ERRO",'LL1 Parser Table'!X6)</f>
        <v>ERRO</v>
      </c>
      <c r="W5" t="str">
        <f>IF(ISBLANK('LL1 Parser Table'!Y6),"ERRO",'LL1 Parser Table'!Y6)</f>
        <v>ERRO</v>
      </c>
      <c r="X5" t="str">
        <f>IF(ISBLANK('LL1 Parser Table'!Z6),"ERRO",'LL1 Parser Table'!Z6)</f>
        <v>ERRO</v>
      </c>
      <c r="Y5" t="str">
        <f>IF(ISBLANK('LL1 Parser Table'!AA6),"ERRO",'LL1 Parser Table'!AA6)</f>
        <v>ERRO</v>
      </c>
      <c r="Z5" t="str">
        <f>IF(ISBLANK('LL1 Parser Table'!AB6),"ERRO",'LL1 Parser Table'!AB6)</f>
        <v>ERRO</v>
      </c>
      <c r="AA5" t="str">
        <f>IF(ISBLANK('LL1 Parser Table'!AC6),"ERRO",'LL1 Parser Table'!AC6)</f>
        <v>ERRO</v>
      </c>
      <c r="AB5" t="str">
        <f>IF(ISBLANK('LL1 Parser Table'!AD6),"ERRO",'LL1 Parser Table'!AD6)</f>
        <v>ERRO</v>
      </c>
      <c r="AC5" t="str">
        <f>IF(ISBLANK('LL1 Parser Table'!AE6),"ERRO",'LL1 Parser Table'!AE6)</f>
        <v>ERRO</v>
      </c>
      <c r="AD5" t="str">
        <f>IF(ISBLANK('LL1 Parser Table'!AF6),"ERRO",'LL1 Parser Table'!AF6)</f>
        <v>ERRO</v>
      </c>
      <c r="AE5" t="str">
        <f>IF(ISBLANK('LL1 Parser Table'!AG6),"ERRO",'LL1 Parser Table'!AG6)</f>
        <v>ERRO</v>
      </c>
      <c r="AF5" t="str">
        <f>IF(ISBLANK('LL1 Parser Table'!AH6),"ERRO",'LL1 Parser Table'!AH6)</f>
        <v>ERRO</v>
      </c>
      <c r="AG5" t="str">
        <f>IF(ISBLANK('LL1 Parser Table'!AI6),"ERRO",'LL1 Parser Table'!AI6)</f>
        <v>ERRO</v>
      </c>
      <c r="AH5" t="str">
        <f>IF(ISBLANK('LL1 Parser Table'!AJ6),"ERRO",'LL1 Parser Table'!AJ6)</f>
        <v>ERRO</v>
      </c>
      <c r="AI5" t="str">
        <f>IF(ISBLANK('LL1 Parser Table'!AK6),"ERRO",'LL1 Parser Table'!AK6)</f>
        <v>ERRO</v>
      </c>
      <c r="AJ5" t="str">
        <f>IF(ISBLANK('LL1 Parser Table'!AL6),"ERRO",'LL1 Parser Table'!AL6)</f>
        <v>ERRO</v>
      </c>
      <c r="AK5" t="str">
        <f>IF(ISBLANK('LL1 Parser Table'!AM6),"ERRO",'LL1 Parser Table'!AM6)</f>
        <v>ERRO</v>
      </c>
      <c r="AL5" t="str">
        <f>IF(ISBLANK('LL1 Parser Table'!AN6),"ERRO",'LL1 Parser Table'!AN6)</f>
        <v>ERRO</v>
      </c>
      <c r="AM5" t="str">
        <f>IF(ISBLANK('LL1 Parser Table'!AO6),"ERRO",'LL1 Parser Table'!AO6)</f>
        <v>ERRO</v>
      </c>
      <c r="AN5" t="str">
        <f>IF(ISBLANK('LL1 Parser Table'!AP6),"ERRO",'LL1 Parser Table'!AP6)</f>
        <v>ERRO</v>
      </c>
      <c r="AO5" t="str">
        <f>IF(ISBLANK('LL1 Parser Table'!AQ6),"ERRO",'LL1 Parser Table'!AQ6)</f>
        <v>ERRO</v>
      </c>
      <c r="AP5" t="str">
        <f>IF(ISBLANK('LL1 Parser Table'!AR6),"ERRO",'LL1 Parser Table'!AR6)</f>
        <v>ERRO</v>
      </c>
      <c r="AQ5" t="str">
        <f>IF(ISBLANK('LL1 Parser Table'!AS6),"ERRO",'LL1 Parser Table'!AS6)</f>
        <v>ERRO</v>
      </c>
      <c r="AR5" t="str">
        <f>IF(ISBLANK('LL1 Parser Table'!AT6),"ERRO",'LL1 Parser Table'!AT6)</f>
        <v>ERRO</v>
      </c>
      <c r="AS5" t="str">
        <f>IF(ISBLANK('LL1 Parser Table'!AU6),"ERRO",'LL1 Parser Table'!AU6)</f>
        <v>ERRO</v>
      </c>
      <c r="AT5" t="str">
        <f>IF(ISBLANK('LL1 Parser Table'!AV6),"ERRO",'LL1 Parser Table'!AV6)</f>
        <v>ERRO</v>
      </c>
      <c r="AU5" t="str">
        <f>IF(ISBLANK('LL1 Parser Table'!AW6),"ERRO",'LL1 Parser Table'!AW6)</f>
        <v>ERRO</v>
      </c>
      <c r="AV5" t="str">
        <f>IF(ISBLANK('LL1 Parser Table'!AX6),"ERRO",'LL1 Parser Table'!AX6)</f>
        <v>ERRO</v>
      </c>
      <c r="AW5" t="str">
        <f>IF(ISBLANK('LL1 Parser Table'!AY6),"ERRO",'LL1 Parser Table'!AY6)</f>
        <v>ERRO</v>
      </c>
      <c r="AX5" t="str">
        <f>IF(ISBLANK('LL1 Parser Table'!AZ6),"ERRO",'LL1 Parser Table'!AZ6)</f>
        <v>ERRO</v>
      </c>
      <c r="AY5" t="str">
        <f>IF(ISBLANK('LL1 Parser Table'!BA6),"ERRO",'LL1 Parser Table'!BA6)</f>
        <v>ERRO</v>
      </c>
      <c r="AZ5" t="str">
        <f>IF(ISBLANK('LL1 Parser Table'!BB6),"ERRO",'LL1 Parser Table'!BB6)</f>
        <v>ERRO</v>
      </c>
      <c r="BA5" t="str">
        <f>IF(ISBLANK('LL1 Parser Table'!BC6),"ERRO",'LL1 Parser Table'!BC6)</f>
        <v>ERRO</v>
      </c>
      <c r="BB5" t="str">
        <f>IF(ISBLANK('LL1 Parser Table'!BD6),"ERRO",'LL1 Parser Table'!BD6)</f>
        <v>ERRO</v>
      </c>
      <c r="BC5" t="str">
        <f>IF(ISBLANK('LL1 Parser Table'!BE6),"ERRO",'LL1 Parser Table'!BE6)</f>
        <v>ERRO</v>
      </c>
      <c r="BD5" t="str">
        <f>IF(ISBLANK('LL1 Parser Table'!BF6),"ERRO",'LL1 Parser Table'!BF6)</f>
        <v>ERRO</v>
      </c>
      <c r="BE5" t="str">
        <f>IF(ISBLANK('LL1 Parser Table'!BG6),"ERRO",'LL1 Parser Table'!BG6)</f>
        <v>ERRO</v>
      </c>
    </row>
    <row r="6" spans="1:57" x14ac:dyDescent="0.35">
      <c r="A6">
        <v>5</v>
      </c>
      <c r="B6" s="8" t="str">
        <f>'LL1 Parser Table'!D7</f>
        <v>Parametros</v>
      </c>
      <c r="C6" t="str">
        <f>IF(ISBLANK('LL1 Parser Table'!E7),"ERRO",'LL1 Parser Table'!E7)</f>
        <v>ERRO</v>
      </c>
      <c r="D6" t="str">
        <f>IF(ISBLANK('LL1 Parser Table'!F7),"ERRO",'LL1 Parser Table'!F7)</f>
        <v>ERRO</v>
      </c>
      <c r="E6" t="str">
        <f>IF(ISBLANK('LL1 Parser Table'!G7),"ERRO",'LL1 Parser Table'!G7)</f>
        <v>Parametros -&gt; ''</v>
      </c>
      <c r="F6" t="str">
        <f>IF(ISBLANK('LL1 Parser Table'!H7),"ERRO",'LL1 Parser Table'!H7)</f>
        <v>ERRO</v>
      </c>
      <c r="G6" t="str">
        <f>IF(ISBLANK('LL1 Parser Table'!I7),"ERRO",'LL1 Parser Table'!I7)</f>
        <v>ERRO</v>
      </c>
      <c r="H6" t="str">
        <f>IF(ISBLANK('LL1 Parser Table'!J7),"ERRO",'LL1 Parser Table'!J7)</f>
        <v>ERRO</v>
      </c>
      <c r="I6" t="str">
        <f>IF(ISBLANK('LL1 Parser Table'!K7),"ERRO",'LL1 Parser Table'!K7)</f>
        <v>Parametros -&gt; ''</v>
      </c>
      <c r="J6" t="str">
        <f>IF(ISBLANK('LL1 Parser Table'!L7),"ERRO",'LL1 Parser Table'!L7)</f>
        <v>Parametros -&gt; ( DeclaraIdentificador )</v>
      </c>
      <c r="K6" t="str">
        <f>IF(ISBLANK('LL1 Parser Table'!M7),"ERRO",'LL1 Parser Table'!M7)</f>
        <v>ERRO</v>
      </c>
      <c r="L6" t="str">
        <f>IF(ISBLANK('LL1 Parser Table'!N7),"ERRO",'LL1 Parser Table'!N7)</f>
        <v>ERRO</v>
      </c>
      <c r="M6" t="str">
        <f>IF(ISBLANK('LL1 Parser Table'!O7),"ERRO",'LL1 Parser Table'!O7)</f>
        <v>ERRO</v>
      </c>
      <c r="N6" t="str">
        <f>IF(ISBLANK('LL1 Parser Table'!P7),"ERRO",'LL1 Parser Table'!P7)</f>
        <v>ERRO</v>
      </c>
      <c r="O6" t="str">
        <f>IF(ISBLANK('LL1 Parser Table'!Q7),"ERRO",'LL1 Parser Table'!Q7)</f>
        <v>ERRO</v>
      </c>
      <c r="P6" t="str">
        <f>IF(ISBLANK('LL1 Parser Table'!R7),"ERRO",'LL1 Parser Table'!R7)</f>
        <v>ERRO</v>
      </c>
      <c r="Q6" t="str">
        <f>IF(ISBLANK('LL1 Parser Table'!S7),"ERRO",'LL1 Parser Table'!S7)</f>
        <v>ERRO</v>
      </c>
      <c r="R6" t="str">
        <f>IF(ISBLANK('LL1 Parser Table'!T7),"ERRO",'LL1 Parser Table'!T7)</f>
        <v>ERRO</v>
      </c>
      <c r="S6" t="str">
        <f>IF(ISBLANK('LL1 Parser Table'!U7),"ERRO",'LL1 Parser Table'!U7)</f>
        <v>ERRO</v>
      </c>
      <c r="T6" t="str">
        <f>IF(ISBLANK('LL1 Parser Table'!V7),"ERRO",'LL1 Parser Table'!V7)</f>
        <v>ERRO</v>
      </c>
      <c r="U6" t="str">
        <f>IF(ISBLANK('LL1 Parser Table'!W7),"ERRO",'LL1 Parser Table'!W7)</f>
        <v>ERRO</v>
      </c>
      <c r="V6" t="str">
        <f>IF(ISBLANK('LL1 Parser Table'!X7),"ERRO",'LL1 Parser Table'!X7)</f>
        <v>ERRO</v>
      </c>
      <c r="W6" t="str">
        <f>IF(ISBLANK('LL1 Parser Table'!Y7),"ERRO",'LL1 Parser Table'!Y7)</f>
        <v>ERRO</v>
      </c>
      <c r="X6" t="str">
        <f>IF(ISBLANK('LL1 Parser Table'!Z7),"ERRO",'LL1 Parser Table'!Z7)</f>
        <v>ERRO</v>
      </c>
      <c r="Y6" t="str">
        <f>IF(ISBLANK('LL1 Parser Table'!AA7),"ERRO",'LL1 Parser Table'!AA7)</f>
        <v>ERRO</v>
      </c>
      <c r="Z6" t="str">
        <f>IF(ISBLANK('LL1 Parser Table'!AB7),"ERRO",'LL1 Parser Table'!AB7)</f>
        <v>ERRO</v>
      </c>
      <c r="AA6" t="str">
        <f>IF(ISBLANK('LL1 Parser Table'!AC7),"ERRO",'LL1 Parser Table'!AC7)</f>
        <v>ERRO</v>
      </c>
      <c r="AB6" t="str">
        <f>IF(ISBLANK('LL1 Parser Table'!AD7),"ERRO",'LL1 Parser Table'!AD7)</f>
        <v>ERRO</v>
      </c>
      <c r="AC6" t="str">
        <f>IF(ISBLANK('LL1 Parser Table'!AE7),"ERRO",'LL1 Parser Table'!AE7)</f>
        <v>ERRO</v>
      </c>
      <c r="AD6" t="str">
        <f>IF(ISBLANK('LL1 Parser Table'!AF7),"ERRO",'LL1 Parser Table'!AF7)</f>
        <v>ERRO</v>
      </c>
      <c r="AE6" t="str">
        <f>IF(ISBLANK('LL1 Parser Table'!AG7),"ERRO",'LL1 Parser Table'!AG7)</f>
        <v>ERRO</v>
      </c>
      <c r="AF6" t="str">
        <f>IF(ISBLANK('LL1 Parser Table'!AH7),"ERRO",'LL1 Parser Table'!AH7)</f>
        <v>ERRO</v>
      </c>
      <c r="AG6" t="str">
        <f>IF(ISBLANK('LL1 Parser Table'!AI7),"ERRO",'LL1 Parser Table'!AI7)</f>
        <v>ERRO</v>
      </c>
      <c r="AH6" t="str">
        <f>IF(ISBLANK('LL1 Parser Table'!AJ7),"ERRO",'LL1 Parser Table'!AJ7)</f>
        <v>ERRO</v>
      </c>
      <c r="AI6" t="str">
        <f>IF(ISBLANK('LL1 Parser Table'!AK7),"ERRO",'LL1 Parser Table'!AK7)</f>
        <v>ERRO</v>
      </c>
      <c r="AJ6" t="str">
        <f>IF(ISBLANK('LL1 Parser Table'!AL7),"ERRO",'LL1 Parser Table'!AL7)</f>
        <v>ERRO</v>
      </c>
      <c r="AK6" t="str">
        <f>IF(ISBLANK('LL1 Parser Table'!AM7),"ERRO",'LL1 Parser Table'!AM7)</f>
        <v>ERRO</v>
      </c>
      <c r="AL6" t="str">
        <f>IF(ISBLANK('LL1 Parser Table'!AN7),"ERRO",'LL1 Parser Table'!AN7)</f>
        <v>ERRO</v>
      </c>
      <c r="AM6" t="str">
        <f>IF(ISBLANK('LL1 Parser Table'!AO7),"ERRO",'LL1 Parser Table'!AO7)</f>
        <v>ERRO</v>
      </c>
      <c r="AN6" t="str">
        <f>IF(ISBLANK('LL1 Parser Table'!AP7),"ERRO",'LL1 Parser Table'!AP7)</f>
        <v>ERRO</v>
      </c>
      <c r="AO6" t="str">
        <f>IF(ISBLANK('LL1 Parser Table'!AQ7),"ERRO",'LL1 Parser Table'!AQ7)</f>
        <v>ERRO</v>
      </c>
      <c r="AP6" t="str">
        <f>IF(ISBLANK('LL1 Parser Table'!AR7),"ERRO",'LL1 Parser Table'!AR7)</f>
        <v>ERRO</v>
      </c>
      <c r="AQ6" t="str">
        <f>IF(ISBLANK('LL1 Parser Table'!AS7),"ERRO",'LL1 Parser Table'!AS7)</f>
        <v>ERRO</v>
      </c>
      <c r="AR6" t="str">
        <f>IF(ISBLANK('LL1 Parser Table'!AT7),"ERRO",'LL1 Parser Table'!AT7)</f>
        <v>ERRO</v>
      </c>
      <c r="AS6" t="str">
        <f>IF(ISBLANK('LL1 Parser Table'!AU7),"ERRO",'LL1 Parser Table'!AU7)</f>
        <v>ERRO</v>
      </c>
      <c r="AT6" t="str">
        <f>IF(ISBLANK('LL1 Parser Table'!AV7),"ERRO",'LL1 Parser Table'!AV7)</f>
        <v>ERRO</v>
      </c>
      <c r="AU6" t="str">
        <f>IF(ISBLANK('LL1 Parser Table'!AW7),"ERRO",'LL1 Parser Table'!AW7)</f>
        <v>ERRO</v>
      </c>
      <c r="AV6" t="str">
        <f>IF(ISBLANK('LL1 Parser Table'!AX7),"ERRO",'LL1 Parser Table'!AX7)</f>
        <v>ERRO</v>
      </c>
      <c r="AW6" t="str">
        <f>IF(ISBLANK('LL1 Parser Table'!AY7),"ERRO",'LL1 Parser Table'!AY7)</f>
        <v>ERRO</v>
      </c>
      <c r="AX6" t="str">
        <f>IF(ISBLANK('LL1 Parser Table'!AZ7),"ERRO",'LL1 Parser Table'!AZ7)</f>
        <v>ERRO</v>
      </c>
      <c r="AY6" t="str">
        <f>IF(ISBLANK('LL1 Parser Table'!BA7),"ERRO",'LL1 Parser Table'!BA7)</f>
        <v>ERRO</v>
      </c>
      <c r="AZ6" t="str">
        <f>IF(ISBLANK('LL1 Parser Table'!BB7),"ERRO",'LL1 Parser Table'!BB7)</f>
        <v>ERRO</v>
      </c>
      <c r="BA6" t="str">
        <f>IF(ISBLANK('LL1 Parser Table'!BC7),"ERRO",'LL1 Parser Table'!BC7)</f>
        <v>ERRO</v>
      </c>
      <c r="BB6" t="str">
        <f>IF(ISBLANK('LL1 Parser Table'!BD7),"ERRO",'LL1 Parser Table'!BD7)</f>
        <v>ERRO</v>
      </c>
      <c r="BC6" t="str">
        <f>IF(ISBLANK('LL1 Parser Table'!BE7),"ERRO",'LL1 Parser Table'!BE7)</f>
        <v>ERRO</v>
      </c>
      <c r="BD6" t="str">
        <f>IF(ISBLANK('LL1 Parser Table'!BF7),"ERRO",'LL1 Parser Table'!BF7)</f>
        <v>ERRO</v>
      </c>
      <c r="BE6" t="str">
        <f>IF(ISBLANK('LL1 Parser Table'!BG7),"ERRO",'LL1 Parser Table'!BG7)</f>
        <v>ERRO</v>
      </c>
    </row>
    <row r="7" spans="1:57" x14ac:dyDescent="0.35">
      <c r="A7">
        <v>6</v>
      </c>
      <c r="B7" s="8" t="str">
        <f>'LL1 Parser Table'!D8</f>
        <v>DeclaraParametros</v>
      </c>
      <c r="C7" t="str">
        <f>IF(ISBLANK('LL1 Parser Table'!E8),"ERRO",'LL1 Parser Table'!E8)</f>
        <v>ERRO</v>
      </c>
      <c r="D7" t="str">
        <f>IF(ISBLANK('LL1 Parser Table'!F8),"ERRO",'LL1 Parser Table'!F8)</f>
        <v>DeclaraParametros -&gt; Declaracoes</v>
      </c>
      <c r="E7" t="str">
        <f>IF(ISBLANK('LL1 Parser Table'!G8),"ERRO",'LL1 Parser Table'!G8)</f>
        <v>ERRO</v>
      </c>
      <c r="F7" t="str">
        <f>IF(ISBLANK('LL1 Parser Table'!H8),"ERRO",'LL1 Parser Table'!H8)</f>
        <v>ERRO</v>
      </c>
      <c r="G7" t="str">
        <f>IF(ISBLANK('LL1 Parser Table'!I8),"ERRO",'LL1 Parser Table'!I8)</f>
        <v>DeclaraParametros -&gt; ''</v>
      </c>
      <c r="H7" t="str">
        <f>IF(ISBLANK('LL1 Parser Table'!J8),"ERRO",'LL1 Parser Table'!J8)</f>
        <v>DeclaraParametros -&gt; ''</v>
      </c>
      <c r="I7" t="str">
        <f>IF(ISBLANK('LL1 Parser Table'!K8),"ERRO",'LL1 Parser Table'!K8)</f>
        <v>ERRO</v>
      </c>
      <c r="J7" t="str">
        <f>IF(ISBLANK('LL1 Parser Table'!L8),"ERRO",'LL1 Parser Table'!L8)</f>
        <v>ERRO</v>
      </c>
      <c r="K7" t="str">
        <f>IF(ISBLANK('LL1 Parser Table'!M8),"ERRO",'LL1 Parser Table'!M8)</f>
        <v>ERRO</v>
      </c>
      <c r="L7" t="str">
        <f>IF(ISBLANK('LL1 Parser Table'!N8),"ERRO",'LL1 Parser Table'!N8)</f>
        <v>DeclaraParametros -&gt; ''</v>
      </c>
      <c r="M7" t="str">
        <f>IF(ISBLANK('LL1 Parser Table'!O8),"ERRO",'LL1 Parser Table'!O8)</f>
        <v>DeclaraParametros -&gt; Declaracoes</v>
      </c>
      <c r="N7" t="str">
        <f>IF(ISBLANK('LL1 Parser Table'!P8),"ERRO",'LL1 Parser Table'!P8)</f>
        <v>ERRO</v>
      </c>
      <c r="O7" t="str">
        <f>IF(ISBLANK('LL1 Parser Table'!Q8),"ERRO",'LL1 Parser Table'!Q8)</f>
        <v>ERRO</v>
      </c>
      <c r="P7" t="str">
        <f>IF(ISBLANK('LL1 Parser Table'!R8),"ERRO",'LL1 Parser Table'!R8)</f>
        <v>ERRO</v>
      </c>
      <c r="Q7" t="str">
        <f>IF(ISBLANK('LL1 Parser Table'!S8),"ERRO",'LL1 Parser Table'!S8)</f>
        <v>ERRO</v>
      </c>
      <c r="R7" t="str">
        <f>IF(ISBLANK('LL1 Parser Table'!T8),"ERRO",'LL1 Parser Table'!T8)</f>
        <v>ERRO</v>
      </c>
      <c r="S7" t="str">
        <f>IF(ISBLANK('LL1 Parser Table'!U8),"ERRO",'LL1 Parser Table'!U8)</f>
        <v>ERRO</v>
      </c>
      <c r="T7" t="str">
        <f>IF(ISBLANK('LL1 Parser Table'!V8),"ERRO",'LL1 Parser Table'!V8)</f>
        <v>ERRO</v>
      </c>
      <c r="U7" t="str">
        <f>IF(ISBLANK('LL1 Parser Table'!W8),"ERRO",'LL1 Parser Table'!W8)</f>
        <v>DeclaraParametros -&gt; Declaracoes</v>
      </c>
      <c r="V7" t="str">
        <f>IF(ISBLANK('LL1 Parser Table'!X8),"ERRO",'LL1 Parser Table'!X8)</f>
        <v>DeclaraParametros -&gt; Declaracoes</v>
      </c>
      <c r="W7" t="str">
        <f>IF(ISBLANK('LL1 Parser Table'!Y8),"ERRO",'LL1 Parser Table'!Y8)</f>
        <v>DeclaraParametros -&gt; Declaracoes</v>
      </c>
      <c r="X7" t="str">
        <f>IF(ISBLANK('LL1 Parser Table'!Z8),"ERRO",'LL1 Parser Table'!Z8)</f>
        <v>DeclaraParametros -&gt; Declaracoes</v>
      </c>
      <c r="Y7" t="str">
        <f>IF(ISBLANK('LL1 Parser Table'!AA8),"ERRO",'LL1 Parser Table'!AA8)</f>
        <v>DeclaraParametros -&gt; ''</v>
      </c>
      <c r="Z7" t="str">
        <f>IF(ISBLANK('LL1 Parser Table'!AB8),"ERRO",'LL1 Parser Table'!AB8)</f>
        <v>ERRO</v>
      </c>
      <c r="AA7" t="str">
        <f>IF(ISBLANK('LL1 Parser Table'!AC8),"ERRO",'LL1 Parser Table'!AC8)</f>
        <v>ERRO</v>
      </c>
      <c r="AB7" t="str">
        <f>IF(ISBLANK('LL1 Parser Table'!AD8),"ERRO",'LL1 Parser Table'!AD8)</f>
        <v>ERRO</v>
      </c>
      <c r="AC7" t="str">
        <f>IF(ISBLANK('LL1 Parser Table'!AE8),"ERRO",'LL1 Parser Table'!AE8)</f>
        <v>ERRO</v>
      </c>
      <c r="AD7" t="str">
        <f>IF(ISBLANK('LL1 Parser Table'!AF8),"ERRO",'LL1 Parser Table'!AF8)</f>
        <v>ERRO</v>
      </c>
      <c r="AE7" t="str">
        <f>IF(ISBLANK('LL1 Parser Table'!AG8),"ERRO",'LL1 Parser Table'!AG8)</f>
        <v>ERRO</v>
      </c>
      <c r="AF7" t="str">
        <f>IF(ISBLANK('LL1 Parser Table'!AH8),"ERRO",'LL1 Parser Table'!AH8)</f>
        <v>ERRO</v>
      </c>
      <c r="AG7" t="str">
        <f>IF(ISBLANK('LL1 Parser Table'!AI8),"ERRO",'LL1 Parser Table'!AI8)</f>
        <v>ERRO</v>
      </c>
      <c r="AH7" t="str">
        <f>IF(ISBLANK('LL1 Parser Table'!AJ8),"ERRO",'LL1 Parser Table'!AJ8)</f>
        <v>ERRO</v>
      </c>
      <c r="AI7" t="str">
        <f>IF(ISBLANK('LL1 Parser Table'!AK8),"ERRO",'LL1 Parser Table'!AK8)</f>
        <v>ERRO</v>
      </c>
      <c r="AJ7" t="str">
        <f>IF(ISBLANK('LL1 Parser Table'!AL8),"ERRO",'LL1 Parser Table'!AL8)</f>
        <v>ERRO</v>
      </c>
      <c r="AK7" t="str">
        <f>IF(ISBLANK('LL1 Parser Table'!AM8),"ERRO",'LL1 Parser Table'!AM8)</f>
        <v>ERRO</v>
      </c>
      <c r="AL7" t="str">
        <f>IF(ISBLANK('LL1 Parser Table'!AN8),"ERRO",'LL1 Parser Table'!AN8)</f>
        <v>ERRO</v>
      </c>
      <c r="AM7" t="str">
        <f>IF(ISBLANK('LL1 Parser Table'!AO8),"ERRO",'LL1 Parser Table'!AO8)</f>
        <v>ERRO</v>
      </c>
      <c r="AN7" t="str">
        <f>IF(ISBLANK('LL1 Parser Table'!AP8),"ERRO",'LL1 Parser Table'!AP8)</f>
        <v>ERRO</v>
      </c>
      <c r="AO7" t="str">
        <f>IF(ISBLANK('LL1 Parser Table'!AQ8),"ERRO",'LL1 Parser Table'!AQ8)</f>
        <v>ERRO</v>
      </c>
      <c r="AP7" t="str">
        <f>IF(ISBLANK('LL1 Parser Table'!AR8),"ERRO",'LL1 Parser Table'!AR8)</f>
        <v>ERRO</v>
      </c>
      <c r="AQ7" t="str">
        <f>IF(ISBLANK('LL1 Parser Table'!AS8),"ERRO",'LL1 Parser Table'!AS8)</f>
        <v>ERRO</v>
      </c>
      <c r="AR7" t="str">
        <f>IF(ISBLANK('LL1 Parser Table'!AT8),"ERRO",'LL1 Parser Table'!AT8)</f>
        <v>ERRO</v>
      </c>
      <c r="AS7" t="str">
        <f>IF(ISBLANK('LL1 Parser Table'!AU8),"ERRO",'LL1 Parser Table'!AU8)</f>
        <v>ERRO</v>
      </c>
      <c r="AT7" t="str">
        <f>IF(ISBLANK('LL1 Parser Table'!AV8),"ERRO",'LL1 Parser Table'!AV8)</f>
        <v>ERRO</v>
      </c>
      <c r="AU7" t="str">
        <f>IF(ISBLANK('LL1 Parser Table'!AW8),"ERRO",'LL1 Parser Table'!AW8)</f>
        <v>ERRO</v>
      </c>
      <c r="AV7" t="str">
        <f>IF(ISBLANK('LL1 Parser Table'!AX8),"ERRO",'LL1 Parser Table'!AX8)</f>
        <v>ERRO</v>
      </c>
      <c r="AW7" t="str">
        <f>IF(ISBLANK('LL1 Parser Table'!AY8),"ERRO",'LL1 Parser Table'!AY8)</f>
        <v>ERRO</v>
      </c>
      <c r="AX7" t="str">
        <f>IF(ISBLANK('LL1 Parser Table'!AZ8),"ERRO",'LL1 Parser Table'!AZ8)</f>
        <v>ERRO</v>
      </c>
      <c r="AY7" t="str">
        <f>IF(ISBLANK('LL1 Parser Table'!BA8),"ERRO",'LL1 Parser Table'!BA8)</f>
        <v>ERRO</v>
      </c>
      <c r="AZ7" t="str">
        <f>IF(ISBLANK('LL1 Parser Table'!BB8),"ERRO",'LL1 Parser Table'!BB8)</f>
        <v>ERRO</v>
      </c>
      <c r="BA7" t="str">
        <f>IF(ISBLANK('LL1 Parser Table'!BC8),"ERRO",'LL1 Parser Table'!BC8)</f>
        <v>ERRO</v>
      </c>
      <c r="BB7" t="str">
        <f>IF(ISBLANK('LL1 Parser Table'!BD8),"ERRO",'LL1 Parser Table'!BD8)</f>
        <v>ERRO</v>
      </c>
      <c r="BC7" t="str">
        <f>IF(ISBLANK('LL1 Parser Table'!BE8),"ERRO",'LL1 Parser Table'!BE8)</f>
        <v>ERRO</v>
      </c>
      <c r="BD7" t="str">
        <f>IF(ISBLANK('LL1 Parser Table'!BF8),"ERRO",'LL1 Parser Table'!BF8)</f>
        <v>ERRO</v>
      </c>
      <c r="BE7" t="str">
        <f>IF(ISBLANK('LL1 Parser Table'!BG8),"ERRO",'LL1 Parser Table'!BG8)</f>
        <v>ERRO</v>
      </c>
    </row>
    <row r="8" spans="1:57" x14ac:dyDescent="0.35">
      <c r="A8">
        <v>7</v>
      </c>
      <c r="B8" s="8" t="str">
        <f>'LL1 Parser Table'!D9</f>
        <v>BlocoVariaveis</v>
      </c>
      <c r="C8" t="str">
        <f>IF(ISBLANK('LL1 Parser Table'!E9),"ERRO",'LL1 Parser Table'!E9)</f>
        <v>ERRO</v>
      </c>
      <c r="D8" t="str">
        <f>IF(ISBLANK('LL1 Parser Table'!F9),"ERRO",'LL1 Parser Table'!F9)</f>
        <v>ERRO</v>
      </c>
      <c r="E8" t="str">
        <f>IF(ISBLANK('LL1 Parser Table'!G9),"ERRO",'LL1 Parser Table'!G9)</f>
        <v>ERRO</v>
      </c>
      <c r="F8" t="str">
        <f>IF(ISBLANK('LL1 Parser Table'!H9),"ERRO",'LL1 Parser Table'!H9)</f>
        <v>ERRO</v>
      </c>
      <c r="G8" t="str">
        <f>IF(ISBLANK('LL1 Parser Table'!I9),"ERRO",'LL1 Parser Table'!I9)</f>
        <v>BlocoVariaveis -&gt; ''</v>
      </c>
      <c r="H8" t="str">
        <f>IF(ISBLANK('LL1 Parser Table'!J9),"ERRO",'LL1 Parser Table'!J9)</f>
        <v>BlocoVariaveis -&gt; ''</v>
      </c>
      <c r="I8" t="str">
        <f>IF(ISBLANK('LL1 Parser Table'!K9),"ERRO",'LL1 Parser Table'!K9)</f>
        <v>ERRO</v>
      </c>
      <c r="J8" t="str">
        <f>IF(ISBLANK('LL1 Parser Table'!L9),"ERRO",'LL1 Parser Table'!L9)</f>
        <v>ERRO</v>
      </c>
      <c r="K8" t="str">
        <f>IF(ISBLANK('LL1 Parser Table'!M9),"ERRO",'LL1 Parser Table'!M9)</f>
        <v>ERRO</v>
      </c>
      <c r="L8" t="str">
        <f>IF(ISBLANK('LL1 Parser Table'!N9),"ERRO",'LL1 Parser Table'!N9)</f>
        <v>BlocoVariaveis -&gt; variaveis Declaracoes</v>
      </c>
      <c r="M8" t="str">
        <f>IF(ISBLANK('LL1 Parser Table'!O9),"ERRO",'LL1 Parser Table'!O9)</f>
        <v>ERRO</v>
      </c>
      <c r="N8" t="str">
        <f>IF(ISBLANK('LL1 Parser Table'!P9),"ERRO",'LL1 Parser Table'!P9)</f>
        <v>ERRO</v>
      </c>
      <c r="O8" t="str">
        <f>IF(ISBLANK('LL1 Parser Table'!Q9),"ERRO",'LL1 Parser Table'!Q9)</f>
        <v>ERRO</v>
      </c>
      <c r="P8" t="str">
        <f>IF(ISBLANK('LL1 Parser Table'!R9),"ERRO",'LL1 Parser Table'!R9)</f>
        <v>ERRO</v>
      </c>
      <c r="Q8" t="str">
        <f>IF(ISBLANK('LL1 Parser Table'!S9),"ERRO",'LL1 Parser Table'!S9)</f>
        <v>ERRO</v>
      </c>
      <c r="R8" t="str">
        <f>IF(ISBLANK('LL1 Parser Table'!T9),"ERRO",'LL1 Parser Table'!T9)</f>
        <v>ERRO</v>
      </c>
      <c r="S8" t="str">
        <f>IF(ISBLANK('LL1 Parser Table'!U9),"ERRO",'LL1 Parser Table'!U9)</f>
        <v>ERRO</v>
      </c>
      <c r="T8" t="str">
        <f>IF(ISBLANK('LL1 Parser Table'!V9),"ERRO",'LL1 Parser Table'!V9)</f>
        <v>ERRO</v>
      </c>
      <c r="U8" t="str">
        <f>IF(ISBLANK('LL1 Parser Table'!W9),"ERRO",'LL1 Parser Table'!W9)</f>
        <v>ERRO</v>
      </c>
      <c r="V8" t="str">
        <f>IF(ISBLANK('LL1 Parser Table'!X9),"ERRO",'LL1 Parser Table'!X9)</f>
        <v>ERRO</v>
      </c>
      <c r="W8" t="str">
        <f>IF(ISBLANK('LL1 Parser Table'!Y9),"ERRO",'LL1 Parser Table'!Y9)</f>
        <v>ERRO</v>
      </c>
      <c r="X8" t="str">
        <f>IF(ISBLANK('LL1 Parser Table'!Z9),"ERRO",'LL1 Parser Table'!Z9)</f>
        <v>ERRO</v>
      </c>
      <c r="Y8" t="str">
        <f>IF(ISBLANK('LL1 Parser Table'!AA9),"ERRO",'LL1 Parser Table'!AA9)</f>
        <v>BlocoVariaveis -&gt; ''</v>
      </c>
      <c r="Z8" t="str">
        <f>IF(ISBLANK('LL1 Parser Table'!AB9),"ERRO",'LL1 Parser Table'!AB9)</f>
        <v>ERRO</v>
      </c>
      <c r="AA8" t="str">
        <f>IF(ISBLANK('LL1 Parser Table'!AC9),"ERRO",'LL1 Parser Table'!AC9)</f>
        <v>ERRO</v>
      </c>
      <c r="AB8" t="str">
        <f>IF(ISBLANK('LL1 Parser Table'!AD9),"ERRO",'LL1 Parser Table'!AD9)</f>
        <v>ERRO</v>
      </c>
      <c r="AC8" t="str">
        <f>IF(ISBLANK('LL1 Parser Table'!AE9),"ERRO",'LL1 Parser Table'!AE9)</f>
        <v>ERRO</v>
      </c>
      <c r="AD8" t="str">
        <f>IF(ISBLANK('LL1 Parser Table'!AF9),"ERRO",'LL1 Parser Table'!AF9)</f>
        <v>ERRO</v>
      </c>
      <c r="AE8" t="str">
        <f>IF(ISBLANK('LL1 Parser Table'!AG9),"ERRO",'LL1 Parser Table'!AG9)</f>
        <v>ERRO</v>
      </c>
      <c r="AF8" t="str">
        <f>IF(ISBLANK('LL1 Parser Table'!AH9),"ERRO",'LL1 Parser Table'!AH9)</f>
        <v>ERRO</v>
      </c>
      <c r="AG8" t="str">
        <f>IF(ISBLANK('LL1 Parser Table'!AI9),"ERRO",'LL1 Parser Table'!AI9)</f>
        <v>ERRO</v>
      </c>
      <c r="AH8" t="str">
        <f>IF(ISBLANK('LL1 Parser Table'!AJ9),"ERRO",'LL1 Parser Table'!AJ9)</f>
        <v>ERRO</v>
      </c>
      <c r="AI8" t="str">
        <f>IF(ISBLANK('LL1 Parser Table'!AK9),"ERRO",'LL1 Parser Table'!AK9)</f>
        <v>ERRO</v>
      </c>
      <c r="AJ8" t="str">
        <f>IF(ISBLANK('LL1 Parser Table'!AL9),"ERRO",'LL1 Parser Table'!AL9)</f>
        <v>ERRO</v>
      </c>
      <c r="AK8" t="str">
        <f>IF(ISBLANK('LL1 Parser Table'!AM9),"ERRO",'LL1 Parser Table'!AM9)</f>
        <v>ERRO</v>
      </c>
      <c r="AL8" t="str">
        <f>IF(ISBLANK('LL1 Parser Table'!AN9),"ERRO",'LL1 Parser Table'!AN9)</f>
        <v>ERRO</v>
      </c>
      <c r="AM8" t="str">
        <f>IF(ISBLANK('LL1 Parser Table'!AO9),"ERRO",'LL1 Parser Table'!AO9)</f>
        <v>ERRO</v>
      </c>
      <c r="AN8" t="str">
        <f>IF(ISBLANK('LL1 Parser Table'!AP9),"ERRO",'LL1 Parser Table'!AP9)</f>
        <v>ERRO</v>
      </c>
      <c r="AO8" t="str">
        <f>IF(ISBLANK('LL1 Parser Table'!AQ9),"ERRO",'LL1 Parser Table'!AQ9)</f>
        <v>ERRO</v>
      </c>
      <c r="AP8" t="str">
        <f>IF(ISBLANK('LL1 Parser Table'!AR9),"ERRO",'LL1 Parser Table'!AR9)</f>
        <v>ERRO</v>
      </c>
      <c r="AQ8" t="str">
        <f>IF(ISBLANK('LL1 Parser Table'!AS9),"ERRO",'LL1 Parser Table'!AS9)</f>
        <v>ERRO</v>
      </c>
      <c r="AR8" t="str">
        <f>IF(ISBLANK('LL1 Parser Table'!AT9),"ERRO",'LL1 Parser Table'!AT9)</f>
        <v>ERRO</v>
      </c>
      <c r="AS8" t="str">
        <f>IF(ISBLANK('LL1 Parser Table'!AU9),"ERRO",'LL1 Parser Table'!AU9)</f>
        <v>ERRO</v>
      </c>
      <c r="AT8" t="str">
        <f>IF(ISBLANK('LL1 Parser Table'!AV9),"ERRO",'LL1 Parser Table'!AV9)</f>
        <v>ERRO</v>
      </c>
      <c r="AU8" t="str">
        <f>IF(ISBLANK('LL1 Parser Table'!AW9),"ERRO",'LL1 Parser Table'!AW9)</f>
        <v>ERRO</v>
      </c>
      <c r="AV8" t="str">
        <f>IF(ISBLANK('LL1 Parser Table'!AX9),"ERRO",'LL1 Parser Table'!AX9)</f>
        <v>ERRO</v>
      </c>
      <c r="AW8" t="str">
        <f>IF(ISBLANK('LL1 Parser Table'!AY9),"ERRO",'LL1 Parser Table'!AY9)</f>
        <v>ERRO</v>
      </c>
      <c r="AX8" t="str">
        <f>IF(ISBLANK('LL1 Parser Table'!AZ9),"ERRO",'LL1 Parser Table'!AZ9)</f>
        <v>ERRO</v>
      </c>
      <c r="AY8" t="str">
        <f>IF(ISBLANK('LL1 Parser Table'!BA9),"ERRO",'LL1 Parser Table'!BA9)</f>
        <v>ERRO</v>
      </c>
      <c r="AZ8" t="str">
        <f>IF(ISBLANK('LL1 Parser Table'!BB9),"ERRO",'LL1 Parser Table'!BB9)</f>
        <v>ERRO</v>
      </c>
      <c r="BA8" t="str">
        <f>IF(ISBLANK('LL1 Parser Table'!BC9),"ERRO",'LL1 Parser Table'!BC9)</f>
        <v>ERRO</v>
      </c>
      <c r="BB8" t="str">
        <f>IF(ISBLANK('LL1 Parser Table'!BD9),"ERRO",'LL1 Parser Table'!BD9)</f>
        <v>ERRO</v>
      </c>
      <c r="BC8" t="str">
        <f>IF(ISBLANK('LL1 Parser Table'!BE9),"ERRO",'LL1 Parser Table'!BE9)</f>
        <v>ERRO</v>
      </c>
      <c r="BD8" t="str">
        <f>IF(ISBLANK('LL1 Parser Table'!BF9),"ERRO",'LL1 Parser Table'!BF9)</f>
        <v>ERRO</v>
      </c>
      <c r="BE8" t="str">
        <f>IF(ISBLANK('LL1 Parser Table'!BG9),"ERRO",'LL1 Parser Table'!BG9)</f>
        <v>BlocoVariaveis -&gt; ''</v>
      </c>
    </row>
    <row r="9" spans="1:57" x14ac:dyDescent="0.35">
      <c r="A9">
        <v>8</v>
      </c>
      <c r="B9" s="8" t="str">
        <f>'LL1 Parser Table'!D10</f>
        <v>Declaracoes</v>
      </c>
      <c r="C9" t="str">
        <f>IF(ISBLANK('LL1 Parser Table'!E10),"ERRO",'LL1 Parser Table'!E10)</f>
        <v>ERRO</v>
      </c>
      <c r="D9" t="str">
        <f>IF(ISBLANK('LL1 Parser Table'!F10),"ERRO",'LL1 Parser Table'!F10)</f>
        <v>Declaracoes -&gt; Declarations DeclaracoesBonus</v>
      </c>
      <c r="E9" t="str">
        <f>IF(ISBLANK('LL1 Parser Table'!G10),"ERRO",'LL1 Parser Table'!G10)</f>
        <v>ERRO</v>
      </c>
      <c r="F9" t="str">
        <f>IF(ISBLANK('LL1 Parser Table'!H10),"ERRO",'LL1 Parser Table'!H10)</f>
        <v>ERRO</v>
      </c>
      <c r="G9" t="str">
        <f>IF(ISBLANK('LL1 Parser Table'!I10),"ERRO",'LL1 Parser Table'!I10)</f>
        <v>ERRO</v>
      </c>
      <c r="H9" t="str">
        <f>IF(ISBLANK('LL1 Parser Table'!J10),"ERRO",'LL1 Parser Table'!J10)</f>
        <v>ERRO</v>
      </c>
      <c r="I9" t="str">
        <f>IF(ISBLANK('LL1 Parser Table'!K10),"ERRO",'LL1 Parser Table'!K10)</f>
        <v>ERRO</v>
      </c>
      <c r="J9" t="str">
        <f>IF(ISBLANK('LL1 Parser Table'!L10),"ERRO",'LL1 Parser Table'!L10)</f>
        <v>ERRO</v>
      </c>
      <c r="K9" t="str">
        <f>IF(ISBLANK('LL1 Parser Table'!M10),"ERRO",'LL1 Parser Table'!M10)</f>
        <v>ERRO</v>
      </c>
      <c r="L9" t="str">
        <f>IF(ISBLANK('LL1 Parser Table'!N10),"ERRO",'LL1 Parser Table'!N10)</f>
        <v>ERRO</v>
      </c>
      <c r="M9" t="str">
        <f>IF(ISBLANK('LL1 Parser Table'!O10),"ERRO",'LL1 Parser Table'!O10)</f>
        <v>Declaracoes -&gt; Declarations DeclaracoesBonus</v>
      </c>
      <c r="N9" t="str">
        <f>IF(ISBLANK('LL1 Parser Table'!P10),"ERRO",'LL1 Parser Table'!P10)</f>
        <v>ERRO</v>
      </c>
      <c r="O9" t="str">
        <f>IF(ISBLANK('LL1 Parser Table'!Q10),"ERRO",'LL1 Parser Table'!Q10)</f>
        <v>ERRO</v>
      </c>
      <c r="P9" t="str">
        <f>IF(ISBLANK('LL1 Parser Table'!R10),"ERRO",'LL1 Parser Table'!R10)</f>
        <v>ERRO</v>
      </c>
      <c r="Q9" t="str">
        <f>IF(ISBLANK('LL1 Parser Table'!S10),"ERRO",'LL1 Parser Table'!S10)</f>
        <v>ERRO</v>
      </c>
      <c r="R9" t="str">
        <f>IF(ISBLANK('LL1 Parser Table'!T10),"ERRO",'LL1 Parser Table'!T10)</f>
        <v>ERRO</v>
      </c>
      <c r="S9" t="str">
        <f>IF(ISBLANK('LL1 Parser Table'!U10),"ERRO",'LL1 Parser Table'!U10)</f>
        <v>ERRO</v>
      </c>
      <c r="T9" t="str">
        <f>IF(ISBLANK('LL1 Parser Table'!V10),"ERRO",'LL1 Parser Table'!V10)</f>
        <v>ERRO</v>
      </c>
      <c r="U9" t="str">
        <f>IF(ISBLANK('LL1 Parser Table'!W10),"ERRO",'LL1 Parser Table'!W10)</f>
        <v>Declaracoes -&gt; Declarations DeclaracoesBonus</v>
      </c>
      <c r="V9" t="str">
        <f>IF(ISBLANK('LL1 Parser Table'!X10),"ERRO",'LL1 Parser Table'!X10)</f>
        <v>Declaracoes -&gt; Declarations DeclaracoesBonus</v>
      </c>
      <c r="W9" t="str">
        <f>IF(ISBLANK('LL1 Parser Table'!Y10),"ERRO",'LL1 Parser Table'!Y10)</f>
        <v>Declaracoes -&gt; Declarations DeclaracoesBonus</v>
      </c>
      <c r="X9" t="str">
        <f>IF(ISBLANK('LL1 Parser Table'!Z10),"ERRO",'LL1 Parser Table'!Z10)</f>
        <v>Declaracoes -&gt; Declarations DeclaracoesBonus</v>
      </c>
      <c r="Y9" t="str">
        <f>IF(ISBLANK('LL1 Parser Table'!AA10),"ERRO",'LL1 Parser Table'!AA10)</f>
        <v>ERRO</v>
      </c>
      <c r="Z9" t="str">
        <f>IF(ISBLANK('LL1 Parser Table'!AB10),"ERRO",'LL1 Parser Table'!AB10)</f>
        <v>ERRO</v>
      </c>
      <c r="AA9" t="str">
        <f>IF(ISBLANK('LL1 Parser Table'!AC10),"ERRO",'LL1 Parser Table'!AC10)</f>
        <v>ERRO</v>
      </c>
      <c r="AB9" t="str">
        <f>IF(ISBLANK('LL1 Parser Table'!AD10),"ERRO",'LL1 Parser Table'!AD10)</f>
        <v>ERRO</v>
      </c>
      <c r="AC9" t="str">
        <f>IF(ISBLANK('LL1 Parser Table'!AE10),"ERRO",'LL1 Parser Table'!AE10)</f>
        <v>ERRO</v>
      </c>
      <c r="AD9" t="str">
        <f>IF(ISBLANK('LL1 Parser Table'!AF10),"ERRO",'LL1 Parser Table'!AF10)</f>
        <v>ERRO</v>
      </c>
      <c r="AE9" t="str">
        <f>IF(ISBLANK('LL1 Parser Table'!AG10),"ERRO",'LL1 Parser Table'!AG10)</f>
        <v>ERRO</v>
      </c>
      <c r="AF9" t="str">
        <f>IF(ISBLANK('LL1 Parser Table'!AH10),"ERRO",'LL1 Parser Table'!AH10)</f>
        <v>ERRO</v>
      </c>
      <c r="AG9" t="str">
        <f>IF(ISBLANK('LL1 Parser Table'!AI10),"ERRO",'LL1 Parser Table'!AI10)</f>
        <v>ERRO</v>
      </c>
      <c r="AH9" t="str">
        <f>IF(ISBLANK('LL1 Parser Table'!AJ10),"ERRO",'LL1 Parser Table'!AJ10)</f>
        <v>ERRO</v>
      </c>
      <c r="AI9" t="str">
        <f>IF(ISBLANK('LL1 Parser Table'!AK10),"ERRO",'LL1 Parser Table'!AK10)</f>
        <v>ERRO</v>
      </c>
      <c r="AJ9" t="str">
        <f>IF(ISBLANK('LL1 Parser Table'!AL10),"ERRO",'LL1 Parser Table'!AL10)</f>
        <v>ERRO</v>
      </c>
      <c r="AK9" t="str">
        <f>IF(ISBLANK('LL1 Parser Table'!AM10),"ERRO",'LL1 Parser Table'!AM10)</f>
        <v>ERRO</v>
      </c>
      <c r="AL9" t="str">
        <f>IF(ISBLANK('LL1 Parser Table'!AN10),"ERRO",'LL1 Parser Table'!AN10)</f>
        <v>ERRO</v>
      </c>
      <c r="AM9" t="str">
        <f>IF(ISBLANK('LL1 Parser Table'!AO10),"ERRO",'LL1 Parser Table'!AO10)</f>
        <v>ERRO</v>
      </c>
      <c r="AN9" t="str">
        <f>IF(ISBLANK('LL1 Parser Table'!AP10),"ERRO",'LL1 Parser Table'!AP10)</f>
        <v>ERRO</v>
      </c>
      <c r="AO9" t="str">
        <f>IF(ISBLANK('LL1 Parser Table'!AQ10),"ERRO",'LL1 Parser Table'!AQ10)</f>
        <v>ERRO</v>
      </c>
      <c r="AP9" t="str">
        <f>IF(ISBLANK('LL1 Parser Table'!AR10),"ERRO",'LL1 Parser Table'!AR10)</f>
        <v>ERRO</v>
      </c>
      <c r="AQ9" t="str">
        <f>IF(ISBLANK('LL1 Parser Table'!AS10),"ERRO",'LL1 Parser Table'!AS10)</f>
        <v>ERRO</v>
      </c>
      <c r="AR9" t="str">
        <f>IF(ISBLANK('LL1 Parser Table'!AT10),"ERRO",'LL1 Parser Table'!AT10)</f>
        <v>ERRO</v>
      </c>
      <c r="AS9" t="str">
        <f>IF(ISBLANK('LL1 Parser Table'!AU10),"ERRO",'LL1 Parser Table'!AU10)</f>
        <v>ERRO</v>
      </c>
      <c r="AT9" t="str">
        <f>IF(ISBLANK('LL1 Parser Table'!AV10),"ERRO",'LL1 Parser Table'!AV10)</f>
        <v>ERRO</v>
      </c>
      <c r="AU9" t="str">
        <f>IF(ISBLANK('LL1 Parser Table'!AW10),"ERRO",'LL1 Parser Table'!AW10)</f>
        <v>ERRO</v>
      </c>
      <c r="AV9" t="str">
        <f>IF(ISBLANK('LL1 Parser Table'!AX10),"ERRO",'LL1 Parser Table'!AX10)</f>
        <v>ERRO</v>
      </c>
      <c r="AW9" t="str">
        <f>IF(ISBLANK('LL1 Parser Table'!AY10),"ERRO",'LL1 Parser Table'!AY10)</f>
        <v>ERRO</v>
      </c>
      <c r="AX9" t="str">
        <f>IF(ISBLANK('LL1 Parser Table'!AZ10),"ERRO",'LL1 Parser Table'!AZ10)</f>
        <v>ERRO</v>
      </c>
      <c r="AY9" t="str">
        <f>IF(ISBLANK('LL1 Parser Table'!BA10),"ERRO",'LL1 Parser Table'!BA10)</f>
        <v>ERRO</v>
      </c>
      <c r="AZ9" t="str">
        <f>IF(ISBLANK('LL1 Parser Table'!BB10),"ERRO",'LL1 Parser Table'!BB10)</f>
        <v>ERRO</v>
      </c>
      <c r="BA9" t="str">
        <f>IF(ISBLANK('LL1 Parser Table'!BC10),"ERRO",'LL1 Parser Table'!BC10)</f>
        <v>ERRO</v>
      </c>
      <c r="BB9" t="str">
        <f>IF(ISBLANK('LL1 Parser Table'!BD10),"ERRO",'LL1 Parser Table'!BD10)</f>
        <v>ERRO</v>
      </c>
      <c r="BC9" t="str">
        <f>IF(ISBLANK('LL1 Parser Table'!BE10),"ERRO",'LL1 Parser Table'!BE10)</f>
        <v>ERRO</v>
      </c>
      <c r="BD9" t="str">
        <f>IF(ISBLANK('LL1 Parser Table'!BF10),"ERRO",'LL1 Parser Table'!BF10)</f>
        <v>ERRO</v>
      </c>
      <c r="BE9" t="str">
        <f>IF(ISBLANK('LL1 Parser Table'!BG10),"ERRO",'LL1 Parser Table'!BG10)</f>
        <v>ERRO</v>
      </c>
    </row>
    <row r="10" spans="1:57" x14ac:dyDescent="0.35">
      <c r="A10">
        <v>9</v>
      </c>
      <c r="B10" s="8" t="str">
        <f>'LL1 Parser Table'!D11</f>
        <v>DeclaracoesBonus</v>
      </c>
      <c r="C10" t="str">
        <f>IF(ISBLANK('LL1 Parser Table'!E11),"ERRO",'LL1 Parser Table'!E11)</f>
        <v>ERRO</v>
      </c>
      <c r="D10" t="str">
        <f>IF(ISBLANK('LL1 Parser Table'!F11),"ERRO",'LL1 Parser Table'!F11)</f>
        <v>DeclaracoesBonus -&gt; Declaracoes</v>
      </c>
      <c r="E10" t="str">
        <f>IF(ISBLANK('LL1 Parser Table'!G11),"ERRO",'LL1 Parser Table'!G11)</f>
        <v>ERRO</v>
      </c>
      <c r="F10" t="str">
        <f>IF(ISBLANK('LL1 Parser Table'!H11),"ERRO",'LL1 Parser Table'!H11)</f>
        <v>ERRO</v>
      </c>
      <c r="G10" t="str">
        <f>IF(ISBLANK('LL1 Parser Table'!I11),"ERRO",'LL1 Parser Table'!I11)</f>
        <v>DeclaracoesBonus -&gt; ''</v>
      </c>
      <c r="H10" t="str">
        <f>IF(ISBLANK('LL1 Parser Table'!J11),"ERRO",'LL1 Parser Table'!J11)</f>
        <v>DeclaracoesBonus -&gt; ''</v>
      </c>
      <c r="I10" t="str">
        <f>IF(ISBLANK('LL1 Parser Table'!K11),"ERRO",'LL1 Parser Table'!K11)</f>
        <v>ERRO</v>
      </c>
      <c r="J10" t="str">
        <f>IF(ISBLANK('LL1 Parser Table'!L11),"ERRO",'LL1 Parser Table'!L11)</f>
        <v>ERRO</v>
      </c>
      <c r="K10" t="str">
        <f>IF(ISBLANK('LL1 Parser Table'!M11),"ERRO",'LL1 Parser Table'!M11)</f>
        <v>ERRO</v>
      </c>
      <c r="L10" t="str">
        <f>IF(ISBLANK('LL1 Parser Table'!N11),"ERRO",'LL1 Parser Table'!N11)</f>
        <v>DeclaracoesBonus -&gt; ''</v>
      </c>
      <c r="M10" t="str">
        <f>IF(ISBLANK('LL1 Parser Table'!O11),"ERRO",'LL1 Parser Table'!O11)</f>
        <v>DeclaracoesBonus -&gt; Declaracoes</v>
      </c>
      <c r="N10" t="str">
        <f>IF(ISBLANK('LL1 Parser Table'!P11),"ERRO",'LL1 Parser Table'!P11)</f>
        <v>ERRO</v>
      </c>
      <c r="O10" t="str">
        <f>IF(ISBLANK('LL1 Parser Table'!Q11),"ERRO",'LL1 Parser Table'!Q11)</f>
        <v>ERRO</v>
      </c>
      <c r="P10" t="str">
        <f>IF(ISBLANK('LL1 Parser Table'!R11),"ERRO",'LL1 Parser Table'!R11)</f>
        <v>ERRO</v>
      </c>
      <c r="Q10" t="str">
        <f>IF(ISBLANK('LL1 Parser Table'!S11),"ERRO",'LL1 Parser Table'!S11)</f>
        <v>ERRO</v>
      </c>
      <c r="R10" t="str">
        <f>IF(ISBLANK('LL1 Parser Table'!T11),"ERRO",'LL1 Parser Table'!T11)</f>
        <v>ERRO</v>
      </c>
      <c r="S10" t="str">
        <f>IF(ISBLANK('LL1 Parser Table'!U11),"ERRO",'LL1 Parser Table'!U11)</f>
        <v>ERRO</v>
      </c>
      <c r="T10" t="str">
        <f>IF(ISBLANK('LL1 Parser Table'!V11),"ERRO",'LL1 Parser Table'!V11)</f>
        <v>ERRO</v>
      </c>
      <c r="U10" t="str">
        <f>IF(ISBLANK('LL1 Parser Table'!W11),"ERRO",'LL1 Parser Table'!W11)</f>
        <v>DeclaracoesBonus -&gt; Declaracoes</v>
      </c>
      <c r="V10" t="str">
        <f>IF(ISBLANK('LL1 Parser Table'!X11),"ERRO",'LL1 Parser Table'!X11)</f>
        <v>DeclaracoesBonus -&gt; Declaracoes</v>
      </c>
      <c r="W10" t="str">
        <f>IF(ISBLANK('LL1 Parser Table'!Y11),"ERRO",'LL1 Parser Table'!Y11)</f>
        <v>DeclaracoesBonus -&gt; Declaracoes</v>
      </c>
      <c r="X10" t="str">
        <f>IF(ISBLANK('LL1 Parser Table'!Z11),"ERRO",'LL1 Parser Table'!Z11)</f>
        <v>DeclaracoesBonus -&gt; Declaracoes</v>
      </c>
      <c r="Y10" t="str">
        <f>IF(ISBLANK('LL1 Parser Table'!AA11),"ERRO",'LL1 Parser Table'!AA11)</f>
        <v>DeclaracoesBonus -&gt; ''</v>
      </c>
      <c r="Z10" t="str">
        <f>IF(ISBLANK('LL1 Parser Table'!AB11),"ERRO",'LL1 Parser Table'!AB11)</f>
        <v>ERRO</v>
      </c>
      <c r="AA10" t="str">
        <f>IF(ISBLANK('LL1 Parser Table'!AC11),"ERRO",'LL1 Parser Table'!AC11)</f>
        <v>ERRO</v>
      </c>
      <c r="AB10" t="str">
        <f>IF(ISBLANK('LL1 Parser Table'!AD11),"ERRO",'LL1 Parser Table'!AD11)</f>
        <v>ERRO</v>
      </c>
      <c r="AC10" t="str">
        <f>IF(ISBLANK('LL1 Parser Table'!AE11),"ERRO",'LL1 Parser Table'!AE11)</f>
        <v>ERRO</v>
      </c>
      <c r="AD10" t="str">
        <f>IF(ISBLANK('LL1 Parser Table'!AF11),"ERRO",'LL1 Parser Table'!AF11)</f>
        <v>ERRO</v>
      </c>
      <c r="AE10" t="str">
        <f>IF(ISBLANK('LL1 Parser Table'!AG11),"ERRO",'LL1 Parser Table'!AG11)</f>
        <v>ERRO</v>
      </c>
      <c r="AF10" t="str">
        <f>IF(ISBLANK('LL1 Parser Table'!AH11),"ERRO",'LL1 Parser Table'!AH11)</f>
        <v>ERRO</v>
      </c>
      <c r="AG10" t="str">
        <f>IF(ISBLANK('LL1 Parser Table'!AI11),"ERRO",'LL1 Parser Table'!AI11)</f>
        <v>ERRO</v>
      </c>
      <c r="AH10" t="str">
        <f>IF(ISBLANK('LL1 Parser Table'!AJ11),"ERRO",'LL1 Parser Table'!AJ11)</f>
        <v>ERRO</v>
      </c>
      <c r="AI10" t="str">
        <f>IF(ISBLANK('LL1 Parser Table'!AK11),"ERRO",'LL1 Parser Table'!AK11)</f>
        <v>ERRO</v>
      </c>
      <c r="AJ10" t="str">
        <f>IF(ISBLANK('LL1 Parser Table'!AL11),"ERRO",'LL1 Parser Table'!AL11)</f>
        <v>ERRO</v>
      </c>
      <c r="AK10" t="str">
        <f>IF(ISBLANK('LL1 Parser Table'!AM11),"ERRO",'LL1 Parser Table'!AM11)</f>
        <v>ERRO</v>
      </c>
      <c r="AL10" t="str">
        <f>IF(ISBLANK('LL1 Parser Table'!AN11),"ERRO",'LL1 Parser Table'!AN11)</f>
        <v>ERRO</v>
      </c>
      <c r="AM10" t="str">
        <f>IF(ISBLANK('LL1 Parser Table'!AO11),"ERRO",'LL1 Parser Table'!AO11)</f>
        <v>ERRO</v>
      </c>
      <c r="AN10" t="str">
        <f>IF(ISBLANK('LL1 Parser Table'!AP11),"ERRO",'LL1 Parser Table'!AP11)</f>
        <v>ERRO</v>
      </c>
      <c r="AO10" t="str">
        <f>IF(ISBLANK('LL1 Parser Table'!AQ11),"ERRO",'LL1 Parser Table'!AQ11)</f>
        <v>ERRO</v>
      </c>
      <c r="AP10" t="str">
        <f>IF(ISBLANK('LL1 Parser Table'!AR11),"ERRO",'LL1 Parser Table'!AR11)</f>
        <v>ERRO</v>
      </c>
      <c r="AQ10" t="str">
        <f>IF(ISBLANK('LL1 Parser Table'!AS11),"ERRO",'LL1 Parser Table'!AS11)</f>
        <v>ERRO</v>
      </c>
      <c r="AR10" t="str">
        <f>IF(ISBLANK('LL1 Parser Table'!AT11),"ERRO",'LL1 Parser Table'!AT11)</f>
        <v>ERRO</v>
      </c>
      <c r="AS10" t="str">
        <f>IF(ISBLANK('LL1 Parser Table'!AU11),"ERRO",'LL1 Parser Table'!AU11)</f>
        <v>ERRO</v>
      </c>
      <c r="AT10" t="str">
        <f>IF(ISBLANK('LL1 Parser Table'!AV11),"ERRO",'LL1 Parser Table'!AV11)</f>
        <v>ERRO</v>
      </c>
      <c r="AU10" t="str">
        <f>IF(ISBLANK('LL1 Parser Table'!AW11),"ERRO",'LL1 Parser Table'!AW11)</f>
        <v>ERRO</v>
      </c>
      <c r="AV10" t="str">
        <f>IF(ISBLANK('LL1 Parser Table'!AX11),"ERRO",'LL1 Parser Table'!AX11)</f>
        <v>ERRO</v>
      </c>
      <c r="AW10" t="str">
        <f>IF(ISBLANK('LL1 Parser Table'!AY11),"ERRO",'LL1 Parser Table'!AY11)</f>
        <v>ERRO</v>
      </c>
      <c r="AX10" t="str">
        <f>IF(ISBLANK('LL1 Parser Table'!AZ11),"ERRO",'LL1 Parser Table'!AZ11)</f>
        <v>ERRO</v>
      </c>
      <c r="AY10" t="str">
        <f>IF(ISBLANK('LL1 Parser Table'!BA11),"ERRO",'LL1 Parser Table'!BA11)</f>
        <v>ERRO</v>
      </c>
      <c r="AZ10" t="str">
        <f>IF(ISBLANK('LL1 Parser Table'!BB11),"ERRO",'LL1 Parser Table'!BB11)</f>
        <v>ERRO</v>
      </c>
      <c r="BA10" t="str">
        <f>IF(ISBLANK('LL1 Parser Table'!BC11),"ERRO",'LL1 Parser Table'!BC11)</f>
        <v>ERRO</v>
      </c>
      <c r="BB10" t="str">
        <f>IF(ISBLANK('LL1 Parser Table'!BD11),"ERRO",'LL1 Parser Table'!BD11)</f>
        <v>ERRO</v>
      </c>
      <c r="BC10" t="str">
        <f>IF(ISBLANK('LL1 Parser Table'!BE11),"ERRO",'LL1 Parser Table'!BE11)</f>
        <v>ERRO</v>
      </c>
      <c r="BD10" t="str">
        <f>IF(ISBLANK('LL1 Parser Table'!BF11),"ERRO",'LL1 Parser Table'!BF11)</f>
        <v>ERRO</v>
      </c>
      <c r="BE10" t="str">
        <f>IF(ISBLANK('LL1 Parser Table'!BG11),"ERRO",'LL1 Parser Table'!BG11)</f>
        <v>DeclaracoesBonus -&gt; ''</v>
      </c>
    </row>
    <row r="11" spans="1:57" x14ac:dyDescent="0.35">
      <c r="A11">
        <v>10</v>
      </c>
      <c r="B11" s="8" t="str">
        <f>'LL1 Parser Table'!D12</f>
        <v>Declarations</v>
      </c>
      <c r="C11" t="str">
        <f>IF(ISBLANK('LL1 Parser Table'!E12),"ERRO",'LL1 Parser Table'!E12)</f>
        <v>ERRO</v>
      </c>
      <c r="D11" t="str">
        <f>IF(ISBLANK('LL1 Parser Table'!F12),"ERRO",'LL1 Parser Table'!F12)</f>
        <v>Declarations -&gt; DeclaraVariaveis</v>
      </c>
      <c r="E11" t="str">
        <f>IF(ISBLANK('LL1 Parser Table'!G12),"ERRO",'LL1 Parser Table'!G12)</f>
        <v>ERRO</v>
      </c>
      <c r="F11" t="str">
        <f>IF(ISBLANK('LL1 Parser Table'!H12),"ERRO",'LL1 Parser Table'!H12)</f>
        <v>ERRO</v>
      </c>
      <c r="G11" t="str">
        <f>IF(ISBLANK('LL1 Parser Table'!I12),"ERRO",'LL1 Parser Table'!I12)</f>
        <v>ERRO</v>
      </c>
      <c r="H11" t="str">
        <f>IF(ISBLANK('LL1 Parser Table'!J12),"ERRO",'LL1 Parser Table'!J12)</f>
        <v>ERRO</v>
      </c>
      <c r="I11" t="str">
        <f>IF(ISBLANK('LL1 Parser Table'!K12),"ERRO",'LL1 Parser Table'!K12)</f>
        <v>ERRO</v>
      </c>
      <c r="J11" t="str">
        <f>IF(ISBLANK('LL1 Parser Table'!L12),"ERRO",'LL1 Parser Table'!L12)</f>
        <v>ERRO</v>
      </c>
      <c r="K11" t="str">
        <f>IF(ISBLANK('LL1 Parser Table'!M12),"ERRO",'LL1 Parser Table'!M12)</f>
        <v>ERRO</v>
      </c>
      <c r="L11" t="str">
        <f>IF(ISBLANK('LL1 Parser Table'!N12),"ERRO",'LL1 Parser Table'!N12)</f>
        <v>ERRO</v>
      </c>
      <c r="M11" t="str">
        <f>IF(ISBLANK('LL1 Parser Table'!O12),"ERRO",'LL1 Parser Table'!O12)</f>
        <v>Declarations -&gt; DeclaraTipo</v>
      </c>
      <c r="N11" t="str">
        <f>IF(ISBLANK('LL1 Parser Table'!P12),"ERRO",'LL1 Parser Table'!P12)</f>
        <v>ERRO</v>
      </c>
      <c r="O11" t="str">
        <f>IF(ISBLANK('LL1 Parser Table'!Q12),"ERRO",'LL1 Parser Table'!Q12)</f>
        <v>ERRO</v>
      </c>
      <c r="P11" t="str">
        <f>IF(ISBLANK('LL1 Parser Table'!R12),"ERRO",'LL1 Parser Table'!R12)</f>
        <v>ERRO</v>
      </c>
      <c r="Q11" t="str">
        <f>IF(ISBLANK('LL1 Parser Table'!S12),"ERRO",'LL1 Parser Table'!S12)</f>
        <v>ERRO</v>
      </c>
      <c r="R11" t="str">
        <f>IF(ISBLANK('LL1 Parser Table'!T12),"ERRO",'LL1 Parser Table'!T12)</f>
        <v>ERRO</v>
      </c>
      <c r="S11" t="str">
        <f>IF(ISBLANK('LL1 Parser Table'!U12),"ERRO",'LL1 Parser Table'!U12)</f>
        <v>ERRO</v>
      </c>
      <c r="T11" t="str">
        <f>IF(ISBLANK('LL1 Parser Table'!V12),"ERRO",'LL1 Parser Table'!V12)</f>
        <v>ERRO</v>
      </c>
      <c r="U11" t="str">
        <f>IF(ISBLANK('LL1 Parser Table'!W12),"ERRO",'LL1 Parser Table'!W12)</f>
        <v>Declarations -&gt; DeclaraVariaveis</v>
      </c>
      <c r="V11" t="str">
        <f>IF(ISBLANK('LL1 Parser Table'!X12),"ERRO",'LL1 Parser Table'!X12)</f>
        <v>Declarations -&gt; DeclaraVariaveis</v>
      </c>
      <c r="W11" t="str">
        <f>IF(ISBLANK('LL1 Parser Table'!Y12),"ERRO",'LL1 Parser Table'!Y12)</f>
        <v>Declarations -&gt; DeclaraVariaveis</v>
      </c>
      <c r="X11" t="str">
        <f>IF(ISBLANK('LL1 Parser Table'!Z12),"ERRO",'LL1 Parser Table'!Z12)</f>
        <v>Declarations -&gt; DeclaraVariaveis</v>
      </c>
      <c r="Y11" t="str">
        <f>IF(ISBLANK('LL1 Parser Table'!AA12),"ERRO",'LL1 Parser Table'!AA12)</f>
        <v>ERRO</v>
      </c>
      <c r="Z11" t="str">
        <f>IF(ISBLANK('LL1 Parser Table'!AB12),"ERRO",'LL1 Parser Table'!AB12)</f>
        <v>ERRO</v>
      </c>
      <c r="AA11" t="str">
        <f>IF(ISBLANK('LL1 Parser Table'!AC12),"ERRO",'LL1 Parser Table'!AC12)</f>
        <v>ERRO</v>
      </c>
      <c r="AB11" t="str">
        <f>IF(ISBLANK('LL1 Parser Table'!AD12),"ERRO",'LL1 Parser Table'!AD12)</f>
        <v>ERRO</v>
      </c>
      <c r="AC11" t="str">
        <f>IF(ISBLANK('LL1 Parser Table'!AE12),"ERRO",'LL1 Parser Table'!AE12)</f>
        <v>ERRO</v>
      </c>
      <c r="AD11" t="str">
        <f>IF(ISBLANK('LL1 Parser Table'!AF12),"ERRO",'LL1 Parser Table'!AF12)</f>
        <v>ERRO</v>
      </c>
      <c r="AE11" t="str">
        <f>IF(ISBLANK('LL1 Parser Table'!AG12),"ERRO",'LL1 Parser Table'!AG12)</f>
        <v>ERRO</v>
      </c>
      <c r="AF11" t="str">
        <f>IF(ISBLANK('LL1 Parser Table'!AH12),"ERRO",'LL1 Parser Table'!AH12)</f>
        <v>ERRO</v>
      </c>
      <c r="AG11" t="str">
        <f>IF(ISBLANK('LL1 Parser Table'!AI12),"ERRO",'LL1 Parser Table'!AI12)</f>
        <v>ERRO</v>
      </c>
      <c r="AH11" t="str">
        <f>IF(ISBLANK('LL1 Parser Table'!AJ12),"ERRO",'LL1 Parser Table'!AJ12)</f>
        <v>ERRO</v>
      </c>
      <c r="AI11" t="str">
        <f>IF(ISBLANK('LL1 Parser Table'!AK12),"ERRO",'LL1 Parser Table'!AK12)</f>
        <v>ERRO</v>
      </c>
      <c r="AJ11" t="str">
        <f>IF(ISBLANK('LL1 Parser Table'!AL12),"ERRO",'LL1 Parser Table'!AL12)</f>
        <v>ERRO</v>
      </c>
      <c r="AK11" t="str">
        <f>IF(ISBLANK('LL1 Parser Table'!AM12),"ERRO",'LL1 Parser Table'!AM12)</f>
        <v>ERRO</v>
      </c>
      <c r="AL11" t="str">
        <f>IF(ISBLANK('LL1 Parser Table'!AN12),"ERRO",'LL1 Parser Table'!AN12)</f>
        <v>ERRO</v>
      </c>
      <c r="AM11" t="str">
        <f>IF(ISBLANK('LL1 Parser Table'!AO12),"ERRO",'LL1 Parser Table'!AO12)</f>
        <v>ERRO</v>
      </c>
      <c r="AN11" t="str">
        <f>IF(ISBLANK('LL1 Parser Table'!AP12),"ERRO",'LL1 Parser Table'!AP12)</f>
        <v>ERRO</v>
      </c>
      <c r="AO11" t="str">
        <f>IF(ISBLANK('LL1 Parser Table'!AQ12),"ERRO",'LL1 Parser Table'!AQ12)</f>
        <v>ERRO</v>
      </c>
      <c r="AP11" t="str">
        <f>IF(ISBLANK('LL1 Parser Table'!AR12),"ERRO",'LL1 Parser Table'!AR12)</f>
        <v>ERRO</v>
      </c>
      <c r="AQ11" t="str">
        <f>IF(ISBLANK('LL1 Parser Table'!AS12),"ERRO",'LL1 Parser Table'!AS12)</f>
        <v>ERRO</v>
      </c>
      <c r="AR11" t="str">
        <f>IF(ISBLANK('LL1 Parser Table'!AT12),"ERRO",'LL1 Parser Table'!AT12)</f>
        <v>ERRO</v>
      </c>
      <c r="AS11" t="str">
        <f>IF(ISBLANK('LL1 Parser Table'!AU12),"ERRO",'LL1 Parser Table'!AU12)</f>
        <v>ERRO</v>
      </c>
      <c r="AT11" t="str">
        <f>IF(ISBLANK('LL1 Parser Table'!AV12),"ERRO",'LL1 Parser Table'!AV12)</f>
        <v>ERRO</v>
      </c>
      <c r="AU11" t="str">
        <f>IF(ISBLANK('LL1 Parser Table'!AW12),"ERRO",'LL1 Parser Table'!AW12)</f>
        <v>ERRO</v>
      </c>
      <c r="AV11" t="str">
        <f>IF(ISBLANK('LL1 Parser Table'!AX12),"ERRO",'LL1 Parser Table'!AX12)</f>
        <v>ERRO</v>
      </c>
      <c r="AW11" t="str">
        <f>IF(ISBLANK('LL1 Parser Table'!AY12),"ERRO",'LL1 Parser Table'!AY12)</f>
        <v>ERRO</v>
      </c>
      <c r="AX11" t="str">
        <f>IF(ISBLANK('LL1 Parser Table'!AZ12),"ERRO",'LL1 Parser Table'!AZ12)</f>
        <v>ERRO</v>
      </c>
      <c r="AY11" t="str">
        <f>IF(ISBLANK('LL1 Parser Table'!BA12),"ERRO",'LL1 Parser Table'!BA12)</f>
        <v>ERRO</v>
      </c>
      <c r="AZ11" t="str">
        <f>IF(ISBLANK('LL1 Parser Table'!BB12),"ERRO",'LL1 Parser Table'!BB12)</f>
        <v>ERRO</v>
      </c>
      <c r="BA11" t="str">
        <f>IF(ISBLANK('LL1 Parser Table'!BC12),"ERRO",'LL1 Parser Table'!BC12)</f>
        <v>ERRO</v>
      </c>
      <c r="BB11" t="str">
        <f>IF(ISBLANK('LL1 Parser Table'!BD12),"ERRO",'LL1 Parser Table'!BD12)</f>
        <v>ERRO</v>
      </c>
      <c r="BC11" t="str">
        <f>IF(ISBLANK('LL1 Parser Table'!BE12),"ERRO",'LL1 Parser Table'!BE12)</f>
        <v>ERRO</v>
      </c>
      <c r="BD11" t="str">
        <f>IF(ISBLANK('LL1 Parser Table'!BF12),"ERRO",'LL1 Parser Table'!BF12)</f>
        <v>ERRO</v>
      </c>
      <c r="BE11" t="str">
        <f>IF(ISBLANK('LL1 Parser Table'!BG12),"ERRO",'LL1 Parser Table'!BG12)</f>
        <v>ERRO</v>
      </c>
    </row>
    <row r="12" spans="1:57" x14ac:dyDescent="0.35">
      <c r="A12">
        <v>11</v>
      </c>
      <c r="B12" s="8" t="str">
        <f>'LL1 Parser Table'!D13</f>
        <v>DeclaraTipo</v>
      </c>
      <c r="C12" t="str">
        <f>IF(ISBLANK('LL1 Parser Table'!E13),"ERRO",'LL1 Parser Table'!E13)</f>
        <v>ERRO</v>
      </c>
      <c r="D12" t="str">
        <f>IF(ISBLANK('LL1 Parser Table'!F13),"ERRO",'LL1 Parser Table'!F13)</f>
        <v>ERRO</v>
      </c>
      <c r="E12" t="str">
        <f>IF(ISBLANK('LL1 Parser Table'!G13),"ERRO",'LL1 Parser Table'!G13)</f>
        <v>ERRO</v>
      </c>
      <c r="F12" t="str">
        <f>IF(ISBLANK('LL1 Parser Table'!H13),"ERRO",'LL1 Parser Table'!H13)</f>
        <v>ERRO</v>
      </c>
      <c r="G12" t="str">
        <f>IF(ISBLANK('LL1 Parser Table'!I13),"ERRO",'LL1 Parser Table'!I13)</f>
        <v>ERRO</v>
      </c>
      <c r="H12" t="str">
        <f>IF(ISBLANK('LL1 Parser Table'!J13),"ERRO",'LL1 Parser Table'!J13)</f>
        <v>ERRO</v>
      </c>
      <c r="I12" t="str">
        <f>IF(ISBLANK('LL1 Parser Table'!K13),"ERRO",'LL1 Parser Table'!K13)</f>
        <v>ERRO</v>
      </c>
      <c r="J12" t="str">
        <f>IF(ISBLANK('LL1 Parser Table'!L13),"ERRO",'LL1 Parser Table'!L13)</f>
        <v>ERRO</v>
      </c>
      <c r="K12" t="str">
        <f>IF(ISBLANK('LL1 Parser Table'!M13),"ERRO",'LL1 Parser Table'!M13)</f>
        <v>ERRO</v>
      </c>
      <c r="L12" t="str">
        <f>IF(ISBLANK('LL1 Parser Table'!N13),"ERRO",'LL1 Parser Table'!N13)</f>
        <v>ERRO</v>
      </c>
      <c r="M12" t="str">
        <f>IF(ISBLANK('LL1 Parser Table'!O13),"ERRO",'LL1 Parser Table'!O13)</f>
        <v>DeclaraTipo -&gt; tipo identificador = VetorMatriz [ Dimensao ] TipoBasico ;</v>
      </c>
      <c r="N12" t="str">
        <f>IF(ISBLANK('LL1 Parser Table'!P13),"ERRO",'LL1 Parser Table'!P13)</f>
        <v>ERRO</v>
      </c>
      <c r="O12" t="str">
        <f>IF(ISBLANK('LL1 Parser Table'!Q13),"ERRO",'LL1 Parser Table'!Q13)</f>
        <v>ERRO</v>
      </c>
      <c r="P12" t="str">
        <f>IF(ISBLANK('LL1 Parser Table'!R13),"ERRO",'LL1 Parser Table'!R13)</f>
        <v>ERRO</v>
      </c>
      <c r="Q12" t="str">
        <f>IF(ISBLANK('LL1 Parser Table'!S13),"ERRO",'LL1 Parser Table'!S13)</f>
        <v>ERRO</v>
      </c>
      <c r="R12" t="str">
        <f>IF(ISBLANK('LL1 Parser Table'!T13),"ERRO",'LL1 Parser Table'!T13)</f>
        <v>ERRO</v>
      </c>
      <c r="S12" t="str">
        <f>IF(ISBLANK('LL1 Parser Table'!U13),"ERRO",'LL1 Parser Table'!U13)</f>
        <v>ERRO</v>
      </c>
      <c r="T12" t="str">
        <f>IF(ISBLANK('LL1 Parser Table'!V13),"ERRO",'LL1 Parser Table'!V13)</f>
        <v>ERRO</v>
      </c>
      <c r="U12" t="str">
        <f>IF(ISBLANK('LL1 Parser Table'!W13),"ERRO",'LL1 Parser Table'!W13)</f>
        <v>ERRO</v>
      </c>
      <c r="V12" t="str">
        <f>IF(ISBLANK('LL1 Parser Table'!X13),"ERRO",'LL1 Parser Table'!X13)</f>
        <v>ERRO</v>
      </c>
      <c r="W12" t="str">
        <f>IF(ISBLANK('LL1 Parser Table'!Y13),"ERRO",'LL1 Parser Table'!Y13)</f>
        <v>ERRO</v>
      </c>
      <c r="X12" t="str">
        <f>IF(ISBLANK('LL1 Parser Table'!Z13),"ERRO",'LL1 Parser Table'!Z13)</f>
        <v>ERRO</v>
      </c>
      <c r="Y12" t="str">
        <f>IF(ISBLANK('LL1 Parser Table'!AA13),"ERRO",'LL1 Parser Table'!AA13)</f>
        <v>ERRO</v>
      </c>
      <c r="Z12" t="str">
        <f>IF(ISBLANK('LL1 Parser Table'!AB13),"ERRO",'LL1 Parser Table'!AB13)</f>
        <v>ERRO</v>
      </c>
      <c r="AA12" t="str">
        <f>IF(ISBLANK('LL1 Parser Table'!AC13),"ERRO",'LL1 Parser Table'!AC13)</f>
        <v>ERRO</v>
      </c>
      <c r="AB12" t="str">
        <f>IF(ISBLANK('LL1 Parser Table'!AD13),"ERRO",'LL1 Parser Table'!AD13)</f>
        <v>ERRO</v>
      </c>
      <c r="AC12" t="str">
        <f>IF(ISBLANK('LL1 Parser Table'!AE13),"ERRO",'LL1 Parser Table'!AE13)</f>
        <v>ERRO</v>
      </c>
      <c r="AD12" t="str">
        <f>IF(ISBLANK('LL1 Parser Table'!AF13),"ERRO",'LL1 Parser Table'!AF13)</f>
        <v>ERRO</v>
      </c>
      <c r="AE12" t="str">
        <f>IF(ISBLANK('LL1 Parser Table'!AG13),"ERRO",'LL1 Parser Table'!AG13)</f>
        <v>ERRO</v>
      </c>
      <c r="AF12" t="str">
        <f>IF(ISBLANK('LL1 Parser Table'!AH13),"ERRO",'LL1 Parser Table'!AH13)</f>
        <v>ERRO</v>
      </c>
      <c r="AG12" t="str">
        <f>IF(ISBLANK('LL1 Parser Table'!AI13),"ERRO",'LL1 Parser Table'!AI13)</f>
        <v>ERRO</v>
      </c>
      <c r="AH12" t="str">
        <f>IF(ISBLANK('LL1 Parser Table'!AJ13),"ERRO",'LL1 Parser Table'!AJ13)</f>
        <v>ERRO</v>
      </c>
      <c r="AI12" t="str">
        <f>IF(ISBLANK('LL1 Parser Table'!AK13),"ERRO",'LL1 Parser Table'!AK13)</f>
        <v>ERRO</v>
      </c>
      <c r="AJ12" t="str">
        <f>IF(ISBLANK('LL1 Parser Table'!AL13),"ERRO",'LL1 Parser Table'!AL13)</f>
        <v>ERRO</v>
      </c>
      <c r="AK12" t="str">
        <f>IF(ISBLANK('LL1 Parser Table'!AM13),"ERRO",'LL1 Parser Table'!AM13)</f>
        <v>ERRO</v>
      </c>
      <c r="AL12" t="str">
        <f>IF(ISBLANK('LL1 Parser Table'!AN13),"ERRO",'LL1 Parser Table'!AN13)</f>
        <v>ERRO</v>
      </c>
      <c r="AM12" t="str">
        <f>IF(ISBLANK('LL1 Parser Table'!AO13),"ERRO",'LL1 Parser Table'!AO13)</f>
        <v>ERRO</v>
      </c>
      <c r="AN12" t="str">
        <f>IF(ISBLANK('LL1 Parser Table'!AP13),"ERRO",'LL1 Parser Table'!AP13)</f>
        <v>ERRO</v>
      </c>
      <c r="AO12" t="str">
        <f>IF(ISBLANK('LL1 Parser Table'!AQ13),"ERRO",'LL1 Parser Table'!AQ13)</f>
        <v>ERRO</v>
      </c>
      <c r="AP12" t="str">
        <f>IF(ISBLANK('LL1 Parser Table'!AR13),"ERRO",'LL1 Parser Table'!AR13)</f>
        <v>ERRO</v>
      </c>
      <c r="AQ12" t="str">
        <f>IF(ISBLANK('LL1 Parser Table'!AS13),"ERRO",'LL1 Parser Table'!AS13)</f>
        <v>ERRO</v>
      </c>
      <c r="AR12" t="str">
        <f>IF(ISBLANK('LL1 Parser Table'!AT13),"ERRO",'LL1 Parser Table'!AT13)</f>
        <v>ERRO</v>
      </c>
      <c r="AS12" t="str">
        <f>IF(ISBLANK('LL1 Parser Table'!AU13),"ERRO",'LL1 Parser Table'!AU13)</f>
        <v>ERRO</v>
      </c>
      <c r="AT12" t="str">
        <f>IF(ISBLANK('LL1 Parser Table'!AV13),"ERRO",'LL1 Parser Table'!AV13)</f>
        <v>ERRO</v>
      </c>
      <c r="AU12" t="str">
        <f>IF(ISBLANK('LL1 Parser Table'!AW13),"ERRO",'LL1 Parser Table'!AW13)</f>
        <v>ERRO</v>
      </c>
      <c r="AV12" t="str">
        <f>IF(ISBLANK('LL1 Parser Table'!AX13),"ERRO",'LL1 Parser Table'!AX13)</f>
        <v>ERRO</v>
      </c>
      <c r="AW12" t="str">
        <f>IF(ISBLANK('LL1 Parser Table'!AY13),"ERRO",'LL1 Parser Table'!AY13)</f>
        <v>ERRO</v>
      </c>
      <c r="AX12" t="str">
        <f>IF(ISBLANK('LL1 Parser Table'!AZ13),"ERRO",'LL1 Parser Table'!AZ13)</f>
        <v>ERRO</v>
      </c>
      <c r="AY12" t="str">
        <f>IF(ISBLANK('LL1 Parser Table'!BA13),"ERRO",'LL1 Parser Table'!BA13)</f>
        <v>ERRO</v>
      </c>
      <c r="AZ12" t="str">
        <f>IF(ISBLANK('LL1 Parser Table'!BB13),"ERRO",'LL1 Parser Table'!BB13)</f>
        <v>ERRO</v>
      </c>
      <c r="BA12" t="str">
        <f>IF(ISBLANK('LL1 Parser Table'!BC13),"ERRO",'LL1 Parser Table'!BC13)</f>
        <v>ERRO</v>
      </c>
      <c r="BB12" t="str">
        <f>IF(ISBLANK('LL1 Parser Table'!BD13),"ERRO",'LL1 Parser Table'!BD13)</f>
        <v>ERRO</v>
      </c>
      <c r="BC12" t="str">
        <f>IF(ISBLANK('LL1 Parser Table'!BE13),"ERRO",'LL1 Parser Table'!BE13)</f>
        <v>ERRO</v>
      </c>
      <c r="BD12" t="str">
        <f>IF(ISBLANK('LL1 Parser Table'!BF13),"ERRO",'LL1 Parser Table'!BF13)</f>
        <v>ERRO</v>
      </c>
      <c r="BE12" t="str">
        <f>IF(ISBLANK('LL1 Parser Table'!BG13),"ERRO",'LL1 Parser Table'!BG13)</f>
        <v>ERRO</v>
      </c>
    </row>
    <row r="13" spans="1:57" x14ac:dyDescent="0.35">
      <c r="A13">
        <v>12</v>
      </c>
      <c r="B13" s="8" t="str">
        <f>'LL1 Parser Table'!D14</f>
        <v>DeclaraVariaveis</v>
      </c>
      <c r="C13" t="str">
        <f>IF(ISBLANK('LL1 Parser Table'!E14),"ERRO",'LL1 Parser Table'!E14)</f>
        <v>ERRO</v>
      </c>
      <c r="D13" t="str">
        <f>IF(ISBLANK('LL1 Parser Table'!F14),"ERRO",'LL1 Parser Table'!F14)</f>
        <v>DeclaraVariaveis -&gt; TipoBasico : DeclaraIdentificador ;</v>
      </c>
      <c r="E13" t="str">
        <f>IF(ISBLANK('LL1 Parser Table'!G14),"ERRO",'LL1 Parser Table'!G14)</f>
        <v>ERRO</v>
      </c>
      <c r="F13" t="str">
        <f>IF(ISBLANK('LL1 Parser Table'!H14),"ERRO",'LL1 Parser Table'!H14)</f>
        <v>ERRO</v>
      </c>
      <c r="G13" t="str">
        <f>IF(ISBLANK('LL1 Parser Table'!I14),"ERRO",'LL1 Parser Table'!I14)</f>
        <v>ERRO</v>
      </c>
      <c r="H13" t="str">
        <f>IF(ISBLANK('LL1 Parser Table'!J14),"ERRO",'LL1 Parser Table'!J14)</f>
        <v>ERRO</v>
      </c>
      <c r="I13" t="str">
        <f>IF(ISBLANK('LL1 Parser Table'!K14),"ERRO",'LL1 Parser Table'!K14)</f>
        <v>ERRO</v>
      </c>
      <c r="J13" t="str">
        <f>IF(ISBLANK('LL1 Parser Table'!L14),"ERRO",'LL1 Parser Table'!L14)</f>
        <v>ERRO</v>
      </c>
      <c r="K13" t="str">
        <f>IF(ISBLANK('LL1 Parser Table'!M14),"ERRO",'LL1 Parser Table'!M14)</f>
        <v>ERRO</v>
      </c>
      <c r="L13" t="str">
        <f>IF(ISBLANK('LL1 Parser Table'!N14),"ERRO",'LL1 Parser Table'!N14)</f>
        <v>ERRO</v>
      </c>
      <c r="M13" t="str">
        <f>IF(ISBLANK('LL1 Parser Table'!O14),"ERRO",'LL1 Parser Table'!O14)</f>
        <v>ERRO</v>
      </c>
      <c r="N13" t="str">
        <f>IF(ISBLANK('LL1 Parser Table'!P14),"ERRO",'LL1 Parser Table'!P14)</f>
        <v>ERRO</v>
      </c>
      <c r="O13" t="str">
        <f>IF(ISBLANK('LL1 Parser Table'!Q14),"ERRO",'LL1 Parser Table'!Q14)</f>
        <v>ERRO</v>
      </c>
      <c r="P13" t="str">
        <f>IF(ISBLANK('LL1 Parser Table'!R14),"ERRO",'LL1 Parser Table'!R14)</f>
        <v>ERRO</v>
      </c>
      <c r="Q13" t="str">
        <f>IF(ISBLANK('LL1 Parser Table'!S14),"ERRO",'LL1 Parser Table'!S14)</f>
        <v>ERRO</v>
      </c>
      <c r="R13" t="str">
        <f>IF(ISBLANK('LL1 Parser Table'!T14),"ERRO",'LL1 Parser Table'!T14)</f>
        <v>ERRO</v>
      </c>
      <c r="S13" t="str">
        <f>IF(ISBLANK('LL1 Parser Table'!U14),"ERRO",'LL1 Parser Table'!U14)</f>
        <v>ERRO</v>
      </c>
      <c r="T13" t="str">
        <f>IF(ISBLANK('LL1 Parser Table'!V14),"ERRO",'LL1 Parser Table'!V14)</f>
        <v>ERRO</v>
      </c>
      <c r="U13" t="str">
        <f>IF(ISBLANK('LL1 Parser Table'!W14),"ERRO",'LL1 Parser Table'!W14)</f>
        <v>DeclaraVariaveis -&gt; TipoBasico : DeclaraIdentificador ;</v>
      </c>
      <c r="V13" t="str">
        <f>IF(ISBLANK('LL1 Parser Table'!X14),"ERRO",'LL1 Parser Table'!X14)</f>
        <v>DeclaraVariaveis -&gt; TipoBasico : DeclaraIdentificador ;</v>
      </c>
      <c r="W13" t="str">
        <f>IF(ISBLANK('LL1 Parser Table'!Y14),"ERRO",'LL1 Parser Table'!Y14)</f>
        <v>DeclaraVariaveis -&gt; TipoBasico : DeclaraIdentificador ;</v>
      </c>
      <c r="X13" t="str">
        <f>IF(ISBLANK('LL1 Parser Table'!Z14),"ERRO",'LL1 Parser Table'!Z14)</f>
        <v>DeclaraVariaveis -&gt; TipoBasico : DeclaraIdentificador ;</v>
      </c>
      <c r="Y13" t="str">
        <f>IF(ISBLANK('LL1 Parser Table'!AA14),"ERRO",'LL1 Parser Table'!AA14)</f>
        <v>ERRO</v>
      </c>
      <c r="Z13" t="str">
        <f>IF(ISBLANK('LL1 Parser Table'!AB14),"ERRO",'LL1 Parser Table'!AB14)</f>
        <v>ERRO</v>
      </c>
      <c r="AA13" t="str">
        <f>IF(ISBLANK('LL1 Parser Table'!AC14),"ERRO",'LL1 Parser Table'!AC14)</f>
        <v>ERRO</v>
      </c>
      <c r="AB13" t="str">
        <f>IF(ISBLANK('LL1 Parser Table'!AD14),"ERRO",'LL1 Parser Table'!AD14)</f>
        <v>ERRO</v>
      </c>
      <c r="AC13" t="str">
        <f>IF(ISBLANK('LL1 Parser Table'!AE14),"ERRO",'LL1 Parser Table'!AE14)</f>
        <v>ERRO</v>
      </c>
      <c r="AD13" t="str">
        <f>IF(ISBLANK('LL1 Parser Table'!AF14),"ERRO",'LL1 Parser Table'!AF14)</f>
        <v>ERRO</v>
      </c>
      <c r="AE13" t="str">
        <f>IF(ISBLANK('LL1 Parser Table'!AG14),"ERRO",'LL1 Parser Table'!AG14)</f>
        <v>ERRO</v>
      </c>
      <c r="AF13" t="str">
        <f>IF(ISBLANK('LL1 Parser Table'!AH14),"ERRO",'LL1 Parser Table'!AH14)</f>
        <v>ERRO</v>
      </c>
      <c r="AG13" t="str">
        <f>IF(ISBLANK('LL1 Parser Table'!AI14),"ERRO",'LL1 Parser Table'!AI14)</f>
        <v>ERRO</v>
      </c>
      <c r="AH13" t="str">
        <f>IF(ISBLANK('LL1 Parser Table'!AJ14),"ERRO",'LL1 Parser Table'!AJ14)</f>
        <v>ERRO</v>
      </c>
      <c r="AI13" t="str">
        <f>IF(ISBLANK('LL1 Parser Table'!AK14),"ERRO",'LL1 Parser Table'!AK14)</f>
        <v>ERRO</v>
      </c>
      <c r="AJ13" t="str">
        <f>IF(ISBLANK('LL1 Parser Table'!AL14),"ERRO",'LL1 Parser Table'!AL14)</f>
        <v>ERRO</v>
      </c>
      <c r="AK13" t="str">
        <f>IF(ISBLANK('LL1 Parser Table'!AM14),"ERRO",'LL1 Parser Table'!AM14)</f>
        <v>ERRO</v>
      </c>
      <c r="AL13" t="str">
        <f>IF(ISBLANK('LL1 Parser Table'!AN14),"ERRO",'LL1 Parser Table'!AN14)</f>
        <v>ERRO</v>
      </c>
      <c r="AM13" t="str">
        <f>IF(ISBLANK('LL1 Parser Table'!AO14),"ERRO",'LL1 Parser Table'!AO14)</f>
        <v>ERRO</v>
      </c>
      <c r="AN13" t="str">
        <f>IF(ISBLANK('LL1 Parser Table'!AP14),"ERRO",'LL1 Parser Table'!AP14)</f>
        <v>ERRO</v>
      </c>
      <c r="AO13" t="str">
        <f>IF(ISBLANK('LL1 Parser Table'!AQ14),"ERRO",'LL1 Parser Table'!AQ14)</f>
        <v>ERRO</v>
      </c>
      <c r="AP13" t="str">
        <f>IF(ISBLANK('LL1 Parser Table'!AR14),"ERRO",'LL1 Parser Table'!AR14)</f>
        <v>ERRO</v>
      </c>
      <c r="AQ13" t="str">
        <f>IF(ISBLANK('LL1 Parser Table'!AS14),"ERRO",'LL1 Parser Table'!AS14)</f>
        <v>ERRO</v>
      </c>
      <c r="AR13" t="str">
        <f>IF(ISBLANK('LL1 Parser Table'!AT14),"ERRO",'LL1 Parser Table'!AT14)</f>
        <v>ERRO</v>
      </c>
      <c r="AS13" t="str">
        <f>IF(ISBLANK('LL1 Parser Table'!AU14),"ERRO",'LL1 Parser Table'!AU14)</f>
        <v>ERRO</v>
      </c>
      <c r="AT13" t="str">
        <f>IF(ISBLANK('LL1 Parser Table'!AV14),"ERRO",'LL1 Parser Table'!AV14)</f>
        <v>ERRO</v>
      </c>
      <c r="AU13" t="str">
        <f>IF(ISBLANK('LL1 Parser Table'!AW14),"ERRO",'LL1 Parser Table'!AW14)</f>
        <v>ERRO</v>
      </c>
      <c r="AV13" t="str">
        <f>IF(ISBLANK('LL1 Parser Table'!AX14),"ERRO",'LL1 Parser Table'!AX14)</f>
        <v>ERRO</v>
      </c>
      <c r="AW13" t="str">
        <f>IF(ISBLANK('LL1 Parser Table'!AY14),"ERRO",'LL1 Parser Table'!AY14)</f>
        <v>ERRO</v>
      </c>
      <c r="AX13" t="str">
        <f>IF(ISBLANK('LL1 Parser Table'!AZ14),"ERRO",'LL1 Parser Table'!AZ14)</f>
        <v>ERRO</v>
      </c>
      <c r="AY13" t="str">
        <f>IF(ISBLANK('LL1 Parser Table'!BA14),"ERRO",'LL1 Parser Table'!BA14)</f>
        <v>ERRO</v>
      </c>
      <c r="AZ13" t="str">
        <f>IF(ISBLANK('LL1 Parser Table'!BB14),"ERRO",'LL1 Parser Table'!BB14)</f>
        <v>ERRO</v>
      </c>
      <c r="BA13" t="str">
        <f>IF(ISBLANK('LL1 Parser Table'!BC14),"ERRO",'LL1 Parser Table'!BC14)</f>
        <v>ERRO</v>
      </c>
      <c r="BB13" t="str">
        <f>IF(ISBLANK('LL1 Parser Table'!BD14),"ERRO",'LL1 Parser Table'!BD14)</f>
        <v>ERRO</v>
      </c>
      <c r="BC13" t="str">
        <f>IF(ISBLANK('LL1 Parser Table'!BE14),"ERRO",'LL1 Parser Table'!BE14)</f>
        <v>ERRO</v>
      </c>
      <c r="BD13" t="str">
        <f>IF(ISBLANK('LL1 Parser Table'!BF14),"ERRO",'LL1 Parser Table'!BF14)</f>
        <v>ERRO</v>
      </c>
      <c r="BE13" t="str">
        <f>IF(ISBLANK('LL1 Parser Table'!BG14),"ERRO",'LL1 Parser Table'!BG14)</f>
        <v>ERRO</v>
      </c>
    </row>
    <row r="14" spans="1:57" x14ac:dyDescent="0.35">
      <c r="A14">
        <v>13</v>
      </c>
      <c r="B14" s="8" t="str">
        <f>'LL1 Parser Table'!D15</f>
        <v>DeclaraIdentificador</v>
      </c>
      <c r="C14" t="str">
        <f>IF(ISBLANK('LL1 Parser Table'!E15),"ERRO",'LL1 Parser Table'!E15)</f>
        <v>ERRO</v>
      </c>
      <c r="D14" t="str">
        <f>IF(ISBLANK('LL1 Parser Table'!F15),"ERRO",'LL1 Parser Table'!F15)</f>
        <v>DeclaraIdentificador -&gt; identificador DeclaraIdentificadorBonus</v>
      </c>
      <c r="E14" t="str">
        <f>IF(ISBLANK('LL1 Parser Table'!G15),"ERRO",'LL1 Parser Table'!G15)</f>
        <v>ERRO</v>
      </c>
      <c r="F14" t="str">
        <f>IF(ISBLANK('LL1 Parser Table'!H15),"ERRO",'LL1 Parser Table'!H15)</f>
        <v>ERRO</v>
      </c>
      <c r="G14" t="str">
        <f>IF(ISBLANK('LL1 Parser Table'!I15),"ERRO",'LL1 Parser Table'!I15)</f>
        <v>ERRO</v>
      </c>
      <c r="H14" t="str">
        <f>IF(ISBLANK('LL1 Parser Table'!J15),"ERRO",'LL1 Parser Table'!J15)</f>
        <v>ERRO</v>
      </c>
      <c r="I14" t="str">
        <f>IF(ISBLANK('LL1 Parser Table'!K15),"ERRO",'LL1 Parser Table'!K15)</f>
        <v>ERRO</v>
      </c>
      <c r="J14" t="str">
        <f>IF(ISBLANK('LL1 Parser Table'!L15),"ERRO",'LL1 Parser Table'!L15)</f>
        <v>ERRO</v>
      </c>
      <c r="K14" t="str">
        <f>IF(ISBLANK('LL1 Parser Table'!M15),"ERRO",'LL1 Parser Table'!M15)</f>
        <v>ERRO</v>
      </c>
      <c r="L14" t="str">
        <f>IF(ISBLANK('LL1 Parser Table'!N15),"ERRO",'LL1 Parser Table'!N15)</f>
        <v>ERRO</v>
      </c>
      <c r="M14" t="str">
        <f>IF(ISBLANK('LL1 Parser Table'!O15),"ERRO",'LL1 Parser Table'!O15)</f>
        <v>ERRO</v>
      </c>
      <c r="N14" t="str">
        <f>IF(ISBLANK('LL1 Parser Table'!P15),"ERRO",'LL1 Parser Table'!P15)</f>
        <v>ERRO</v>
      </c>
      <c r="O14" t="str">
        <f>IF(ISBLANK('LL1 Parser Table'!Q15),"ERRO",'LL1 Parser Table'!Q15)</f>
        <v>ERRO</v>
      </c>
      <c r="P14" t="str">
        <f>IF(ISBLANK('LL1 Parser Table'!R15),"ERRO",'LL1 Parser Table'!R15)</f>
        <v>ERRO</v>
      </c>
      <c r="Q14" t="str">
        <f>IF(ISBLANK('LL1 Parser Table'!S15),"ERRO",'LL1 Parser Table'!S15)</f>
        <v>ERRO</v>
      </c>
      <c r="R14" t="str">
        <f>IF(ISBLANK('LL1 Parser Table'!T15),"ERRO",'LL1 Parser Table'!T15)</f>
        <v>ERRO</v>
      </c>
      <c r="S14" t="str">
        <f>IF(ISBLANK('LL1 Parser Table'!U15),"ERRO",'LL1 Parser Table'!U15)</f>
        <v>ERRO</v>
      </c>
      <c r="T14" t="str">
        <f>IF(ISBLANK('LL1 Parser Table'!V15),"ERRO",'LL1 Parser Table'!V15)</f>
        <v>ERRO</v>
      </c>
      <c r="U14" t="str">
        <f>IF(ISBLANK('LL1 Parser Table'!W15),"ERRO",'LL1 Parser Table'!W15)</f>
        <v>ERRO</v>
      </c>
      <c r="V14" t="str">
        <f>IF(ISBLANK('LL1 Parser Table'!X15),"ERRO",'LL1 Parser Table'!X15)</f>
        <v>ERRO</v>
      </c>
      <c r="W14" t="str">
        <f>IF(ISBLANK('LL1 Parser Table'!Y15),"ERRO",'LL1 Parser Table'!Y15)</f>
        <v>ERRO</v>
      </c>
      <c r="X14" t="str">
        <f>IF(ISBLANK('LL1 Parser Table'!Z15),"ERRO",'LL1 Parser Table'!Z15)</f>
        <v>ERRO</v>
      </c>
      <c r="Y14" t="str">
        <f>IF(ISBLANK('LL1 Parser Table'!AA15),"ERRO",'LL1 Parser Table'!AA15)</f>
        <v>ERRO</v>
      </c>
      <c r="Z14" t="str">
        <f>IF(ISBLANK('LL1 Parser Table'!AB15),"ERRO",'LL1 Parser Table'!AB15)</f>
        <v>ERRO</v>
      </c>
      <c r="AA14" t="str">
        <f>IF(ISBLANK('LL1 Parser Table'!AC15),"ERRO",'LL1 Parser Table'!AC15)</f>
        <v>ERRO</v>
      </c>
      <c r="AB14" t="str">
        <f>IF(ISBLANK('LL1 Parser Table'!AD15),"ERRO",'LL1 Parser Table'!AD15)</f>
        <v>ERRO</v>
      </c>
      <c r="AC14" t="str">
        <f>IF(ISBLANK('LL1 Parser Table'!AE15),"ERRO",'LL1 Parser Table'!AE15)</f>
        <v>ERRO</v>
      </c>
      <c r="AD14" t="str">
        <f>IF(ISBLANK('LL1 Parser Table'!AF15),"ERRO",'LL1 Parser Table'!AF15)</f>
        <v>ERRO</v>
      </c>
      <c r="AE14" t="str">
        <f>IF(ISBLANK('LL1 Parser Table'!AG15),"ERRO",'LL1 Parser Table'!AG15)</f>
        <v>ERRO</v>
      </c>
      <c r="AF14" t="str">
        <f>IF(ISBLANK('LL1 Parser Table'!AH15),"ERRO",'LL1 Parser Table'!AH15)</f>
        <v>ERRO</v>
      </c>
      <c r="AG14" t="str">
        <f>IF(ISBLANK('LL1 Parser Table'!AI15),"ERRO",'LL1 Parser Table'!AI15)</f>
        <v>ERRO</v>
      </c>
      <c r="AH14" t="str">
        <f>IF(ISBLANK('LL1 Parser Table'!AJ15),"ERRO",'LL1 Parser Table'!AJ15)</f>
        <v>ERRO</v>
      </c>
      <c r="AI14" t="str">
        <f>IF(ISBLANK('LL1 Parser Table'!AK15),"ERRO",'LL1 Parser Table'!AK15)</f>
        <v>ERRO</v>
      </c>
      <c r="AJ14" t="str">
        <f>IF(ISBLANK('LL1 Parser Table'!AL15),"ERRO",'LL1 Parser Table'!AL15)</f>
        <v>ERRO</v>
      </c>
      <c r="AK14" t="str">
        <f>IF(ISBLANK('LL1 Parser Table'!AM15),"ERRO",'LL1 Parser Table'!AM15)</f>
        <v>ERRO</v>
      </c>
      <c r="AL14" t="str">
        <f>IF(ISBLANK('LL1 Parser Table'!AN15),"ERRO",'LL1 Parser Table'!AN15)</f>
        <v>ERRO</v>
      </c>
      <c r="AM14" t="str">
        <f>IF(ISBLANK('LL1 Parser Table'!AO15),"ERRO",'LL1 Parser Table'!AO15)</f>
        <v>ERRO</v>
      </c>
      <c r="AN14" t="str">
        <f>IF(ISBLANK('LL1 Parser Table'!AP15),"ERRO",'LL1 Parser Table'!AP15)</f>
        <v>ERRO</v>
      </c>
      <c r="AO14" t="str">
        <f>IF(ISBLANK('LL1 Parser Table'!AQ15),"ERRO",'LL1 Parser Table'!AQ15)</f>
        <v>ERRO</v>
      </c>
      <c r="AP14" t="str">
        <f>IF(ISBLANK('LL1 Parser Table'!AR15),"ERRO",'LL1 Parser Table'!AR15)</f>
        <v>ERRO</v>
      </c>
      <c r="AQ14" t="str">
        <f>IF(ISBLANK('LL1 Parser Table'!AS15),"ERRO",'LL1 Parser Table'!AS15)</f>
        <v>ERRO</v>
      </c>
      <c r="AR14" t="str">
        <f>IF(ISBLANK('LL1 Parser Table'!AT15),"ERRO",'LL1 Parser Table'!AT15)</f>
        <v>ERRO</v>
      </c>
      <c r="AS14" t="str">
        <f>IF(ISBLANK('LL1 Parser Table'!AU15),"ERRO",'LL1 Parser Table'!AU15)</f>
        <v>ERRO</v>
      </c>
      <c r="AT14" t="str">
        <f>IF(ISBLANK('LL1 Parser Table'!AV15),"ERRO",'LL1 Parser Table'!AV15)</f>
        <v>ERRO</v>
      </c>
      <c r="AU14" t="str">
        <f>IF(ISBLANK('LL1 Parser Table'!AW15),"ERRO",'LL1 Parser Table'!AW15)</f>
        <v>ERRO</v>
      </c>
      <c r="AV14" t="str">
        <f>IF(ISBLANK('LL1 Parser Table'!AX15),"ERRO",'LL1 Parser Table'!AX15)</f>
        <v>ERRO</v>
      </c>
      <c r="AW14" t="str">
        <f>IF(ISBLANK('LL1 Parser Table'!AY15),"ERRO",'LL1 Parser Table'!AY15)</f>
        <v>ERRO</v>
      </c>
      <c r="AX14" t="str">
        <f>IF(ISBLANK('LL1 Parser Table'!AZ15),"ERRO",'LL1 Parser Table'!AZ15)</f>
        <v>ERRO</v>
      </c>
      <c r="AY14" t="str">
        <f>IF(ISBLANK('LL1 Parser Table'!BA15),"ERRO",'LL1 Parser Table'!BA15)</f>
        <v>ERRO</v>
      </c>
      <c r="AZ14" t="str">
        <f>IF(ISBLANK('LL1 Parser Table'!BB15),"ERRO",'LL1 Parser Table'!BB15)</f>
        <v>ERRO</v>
      </c>
      <c r="BA14" t="str">
        <f>IF(ISBLANK('LL1 Parser Table'!BC15),"ERRO",'LL1 Parser Table'!BC15)</f>
        <v>ERRO</v>
      </c>
      <c r="BB14" t="str">
        <f>IF(ISBLANK('LL1 Parser Table'!BD15),"ERRO",'LL1 Parser Table'!BD15)</f>
        <v>ERRO</v>
      </c>
      <c r="BC14" t="str">
        <f>IF(ISBLANK('LL1 Parser Table'!BE15),"ERRO",'LL1 Parser Table'!BE15)</f>
        <v>ERRO</v>
      </c>
      <c r="BD14" t="str">
        <f>IF(ISBLANK('LL1 Parser Table'!BF15),"ERRO",'LL1 Parser Table'!BF15)</f>
        <v>ERRO</v>
      </c>
      <c r="BE14" t="str">
        <f>IF(ISBLANK('LL1 Parser Table'!BG15),"ERRO",'LL1 Parser Table'!BG15)</f>
        <v>ERRO</v>
      </c>
    </row>
    <row r="15" spans="1:57" x14ac:dyDescent="0.35">
      <c r="A15">
        <v>14</v>
      </c>
      <c r="B15" s="8" t="str">
        <f>'LL1 Parser Table'!D16</f>
        <v>DeclaraIdentificadorBonus</v>
      </c>
      <c r="C15" t="str">
        <f>IF(ISBLANK('LL1 Parser Table'!E16),"ERRO",'LL1 Parser Table'!E16)</f>
        <v>ERRO</v>
      </c>
      <c r="D15" t="str">
        <f>IF(ISBLANK('LL1 Parser Table'!F16),"ERRO",'LL1 Parser Table'!F16)</f>
        <v>ERRO</v>
      </c>
      <c r="E15" t="str">
        <f>IF(ISBLANK('LL1 Parser Table'!G16),"ERRO",'LL1 Parser Table'!G16)</f>
        <v>DeclaraIdentificadorBonus -&gt; ''</v>
      </c>
      <c r="F15" t="str">
        <f>IF(ISBLANK('LL1 Parser Table'!H16),"ERRO",'LL1 Parser Table'!H16)</f>
        <v>ERRO</v>
      </c>
      <c r="G15" t="str">
        <f>IF(ISBLANK('LL1 Parser Table'!I16),"ERRO",'LL1 Parser Table'!I16)</f>
        <v>ERRO</v>
      </c>
      <c r="H15" t="str">
        <f>IF(ISBLANK('LL1 Parser Table'!J16),"ERRO",'LL1 Parser Table'!J16)</f>
        <v>ERRO</v>
      </c>
      <c r="I15" t="str">
        <f>IF(ISBLANK('LL1 Parser Table'!K16),"ERRO",'LL1 Parser Table'!K16)</f>
        <v>ERRO</v>
      </c>
      <c r="J15" t="str">
        <f>IF(ISBLANK('LL1 Parser Table'!L16),"ERRO",'LL1 Parser Table'!L16)</f>
        <v>ERRO</v>
      </c>
      <c r="K15" t="str">
        <f>IF(ISBLANK('LL1 Parser Table'!M16),"ERRO",'LL1 Parser Table'!M16)</f>
        <v>DeclaraIdentificadorBonus -&gt; ''</v>
      </c>
      <c r="L15" t="str">
        <f>IF(ISBLANK('LL1 Parser Table'!N16),"ERRO",'LL1 Parser Table'!N16)</f>
        <v>ERRO</v>
      </c>
      <c r="M15" t="str">
        <f>IF(ISBLANK('LL1 Parser Table'!O16),"ERRO",'LL1 Parser Table'!O16)</f>
        <v>ERRO</v>
      </c>
      <c r="N15" t="str">
        <f>IF(ISBLANK('LL1 Parser Table'!P16),"ERRO",'LL1 Parser Table'!P16)</f>
        <v>ERRO</v>
      </c>
      <c r="O15" t="str">
        <f>IF(ISBLANK('LL1 Parser Table'!Q16),"ERRO",'LL1 Parser Table'!Q16)</f>
        <v>ERRO</v>
      </c>
      <c r="P15" t="str">
        <f>IF(ISBLANK('LL1 Parser Table'!R16),"ERRO",'LL1 Parser Table'!R16)</f>
        <v>ERRO</v>
      </c>
      <c r="Q15" t="str">
        <f>IF(ISBLANK('LL1 Parser Table'!S16),"ERRO",'LL1 Parser Table'!S16)</f>
        <v>DeclaraIdentificadorBonus -&gt; , DeclaraIdentificador</v>
      </c>
      <c r="R15" t="str">
        <f>IF(ISBLANK('LL1 Parser Table'!T16),"ERRO",'LL1 Parser Table'!T16)</f>
        <v>ERRO</v>
      </c>
      <c r="S15" t="str">
        <f>IF(ISBLANK('LL1 Parser Table'!U16),"ERRO",'LL1 Parser Table'!U16)</f>
        <v>ERRO</v>
      </c>
      <c r="T15" t="str">
        <f>IF(ISBLANK('LL1 Parser Table'!V16),"ERRO",'LL1 Parser Table'!V16)</f>
        <v>ERRO</v>
      </c>
      <c r="U15" t="str">
        <f>IF(ISBLANK('LL1 Parser Table'!W16),"ERRO",'LL1 Parser Table'!W16)</f>
        <v>ERRO</v>
      </c>
      <c r="V15" t="str">
        <f>IF(ISBLANK('LL1 Parser Table'!X16),"ERRO",'LL1 Parser Table'!X16)</f>
        <v>ERRO</v>
      </c>
      <c r="W15" t="str">
        <f>IF(ISBLANK('LL1 Parser Table'!Y16),"ERRO",'LL1 Parser Table'!Y16)</f>
        <v>ERRO</v>
      </c>
      <c r="X15" t="str">
        <f>IF(ISBLANK('LL1 Parser Table'!Z16),"ERRO",'LL1 Parser Table'!Z16)</f>
        <v>ERRO</v>
      </c>
      <c r="Y15" t="str">
        <f>IF(ISBLANK('LL1 Parser Table'!AA16),"ERRO",'LL1 Parser Table'!AA16)</f>
        <v>ERRO</v>
      </c>
      <c r="Z15" t="str">
        <f>IF(ISBLANK('LL1 Parser Table'!AB16),"ERRO",'LL1 Parser Table'!AB16)</f>
        <v>ERRO</v>
      </c>
      <c r="AA15" t="str">
        <f>IF(ISBLANK('LL1 Parser Table'!AC16),"ERRO",'LL1 Parser Table'!AC16)</f>
        <v>ERRO</v>
      </c>
      <c r="AB15" t="str">
        <f>IF(ISBLANK('LL1 Parser Table'!AD16),"ERRO",'LL1 Parser Table'!AD16)</f>
        <v>ERRO</v>
      </c>
      <c r="AC15" t="str">
        <f>IF(ISBLANK('LL1 Parser Table'!AE16),"ERRO",'LL1 Parser Table'!AE16)</f>
        <v>ERRO</v>
      </c>
      <c r="AD15" t="str">
        <f>IF(ISBLANK('LL1 Parser Table'!AF16),"ERRO",'LL1 Parser Table'!AF16)</f>
        <v>ERRO</v>
      </c>
      <c r="AE15" t="str">
        <f>IF(ISBLANK('LL1 Parser Table'!AG16),"ERRO",'LL1 Parser Table'!AG16)</f>
        <v>ERRO</v>
      </c>
      <c r="AF15" t="str">
        <f>IF(ISBLANK('LL1 Parser Table'!AH16),"ERRO",'LL1 Parser Table'!AH16)</f>
        <v>ERRO</v>
      </c>
      <c r="AG15" t="str">
        <f>IF(ISBLANK('LL1 Parser Table'!AI16),"ERRO",'LL1 Parser Table'!AI16)</f>
        <v>ERRO</v>
      </c>
      <c r="AH15" t="str">
        <f>IF(ISBLANK('LL1 Parser Table'!AJ16),"ERRO",'LL1 Parser Table'!AJ16)</f>
        <v>ERRO</v>
      </c>
      <c r="AI15" t="str">
        <f>IF(ISBLANK('LL1 Parser Table'!AK16),"ERRO",'LL1 Parser Table'!AK16)</f>
        <v>ERRO</v>
      </c>
      <c r="AJ15" t="str">
        <f>IF(ISBLANK('LL1 Parser Table'!AL16),"ERRO",'LL1 Parser Table'!AL16)</f>
        <v>ERRO</v>
      </c>
      <c r="AK15" t="str">
        <f>IF(ISBLANK('LL1 Parser Table'!AM16),"ERRO",'LL1 Parser Table'!AM16)</f>
        <v>ERRO</v>
      </c>
      <c r="AL15" t="str">
        <f>IF(ISBLANK('LL1 Parser Table'!AN16),"ERRO",'LL1 Parser Table'!AN16)</f>
        <v>ERRO</v>
      </c>
      <c r="AM15" t="str">
        <f>IF(ISBLANK('LL1 Parser Table'!AO16),"ERRO",'LL1 Parser Table'!AO16)</f>
        <v>ERRO</v>
      </c>
      <c r="AN15" t="str">
        <f>IF(ISBLANK('LL1 Parser Table'!AP16),"ERRO",'LL1 Parser Table'!AP16)</f>
        <v>ERRO</v>
      </c>
      <c r="AO15" t="str">
        <f>IF(ISBLANK('LL1 Parser Table'!AQ16),"ERRO",'LL1 Parser Table'!AQ16)</f>
        <v>ERRO</v>
      </c>
      <c r="AP15" t="str">
        <f>IF(ISBLANK('LL1 Parser Table'!AR16),"ERRO",'LL1 Parser Table'!AR16)</f>
        <v>ERRO</v>
      </c>
      <c r="AQ15" t="str">
        <f>IF(ISBLANK('LL1 Parser Table'!AS16),"ERRO",'LL1 Parser Table'!AS16)</f>
        <v>ERRO</v>
      </c>
      <c r="AR15" t="str">
        <f>IF(ISBLANK('LL1 Parser Table'!AT16),"ERRO",'LL1 Parser Table'!AT16)</f>
        <v>ERRO</v>
      </c>
      <c r="AS15" t="str">
        <f>IF(ISBLANK('LL1 Parser Table'!AU16),"ERRO",'LL1 Parser Table'!AU16)</f>
        <v>ERRO</v>
      </c>
      <c r="AT15" t="str">
        <f>IF(ISBLANK('LL1 Parser Table'!AV16),"ERRO",'LL1 Parser Table'!AV16)</f>
        <v>ERRO</v>
      </c>
      <c r="AU15" t="str">
        <f>IF(ISBLANK('LL1 Parser Table'!AW16),"ERRO",'LL1 Parser Table'!AW16)</f>
        <v>ERRO</v>
      </c>
      <c r="AV15" t="str">
        <f>IF(ISBLANK('LL1 Parser Table'!AX16),"ERRO",'LL1 Parser Table'!AX16)</f>
        <v>ERRO</v>
      </c>
      <c r="AW15" t="str">
        <f>IF(ISBLANK('LL1 Parser Table'!AY16),"ERRO",'LL1 Parser Table'!AY16)</f>
        <v>ERRO</v>
      </c>
      <c r="AX15" t="str">
        <f>IF(ISBLANK('LL1 Parser Table'!AZ16),"ERRO",'LL1 Parser Table'!AZ16)</f>
        <v>ERRO</v>
      </c>
      <c r="AY15" t="str">
        <f>IF(ISBLANK('LL1 Parser Table'!BA16),"ERRO",'LL1 Parser Table'!BA16)</f>
        <v>ERRO</v>
      </c>
      <c r="AZ15" t="str">
        <f>IF(ISBLANK('LL1 Parser Table'!BB16),"ERRO",'LL1 Parser Table'!BB16)</f>
        <v>ERRO</v>
      </c>
      <c r="BA15" t="str">
        <f>IF(ISBLANK('LL1 Parser Table'!BC16),"ERRO",'LL1 Parser Table'!BC16)</f>
        <v>ERRO</v>
      </c>
      <c r="BB15" t="str">
        <f>IF(ISBLANK('LL1 Parser Table'!BD16),"ERRO",'LL1 Parser Table'!BD16)</f>
        <v>ERRO</v>
      </c>
      <c r="BC15" t="str">
        <f>IF(ISBLANK('LL1 Parser Table'!BE16),"ERRO",'LL1 Parser Table'!BE16)</f>
        <v>ERRO</v>
      </c>
      <c r="BD15" t="str">
        <f>IF(ISBLANK('LL1 Parser Table'!BF16),"ERRO",'LL1 Parser Table'!BF16)</f>
        <v>ERRO</v>
      </c>
      <c r="BE15" t="str">
        <f>IF(ISBLANK('LL1 Parser Table'!BG16),"ERRO",'LL1 Parser Table'!BG16)</f>
        <v>ERRO</v>
      </c>
    </row>
    <row r="16" spans="1:57" x14ac:dyDescent="0.35">
      <c r="A16">
        <v>15</v>
      </c>
      <c r="B16" s="8" t="str">
        <f>'LL1 Parser Table'!D17</f>
        <v>VetorMatriz</v>
      </c>
      <c r="C16" t="str">
        <f>IF(ISBLANK('LL1 Parser Table'!E17),"ERRO",'LL1 Parser Table'!E17)</f>
        <v>ERRO</v>
      </c>
      <c r="D16" t="str">
        <f>IF(ISBLANK('LL1 Parser Table'!F17),"ERRO",'LL1 Parser Table'!F17)</f>
        <v>ERRO</v>
      </c>
      <c r="E16" t="str">
        <f>IF(ISBLANK('LL1 Parser Table'!G17),"ERRO",'LL1 Parser Table'!G17)</f>
        <v>ERRO</v>
      </c>
      <c r="F16" t="str">
        <f>IF(ISBLANK('LL1 Parser Table'!H17),"ERRO",'LL1 Parser Table'!H17)</f>
        <v>ERRO</v>
      </c>
      <c r="G16" t="str">
        <f>IF(ISBLANK('LL1 Parser Table'!I17),"ERRO",'LL1 Parser Table'!I17)</f>
        <v>ERRO</v>
      </c>
      <c r="H16" t="str">
        <f>IF(ISBLANK('LL1 Parser Table'!J17),"ERRO",'LL1 Parser Table'!J17)</f>
        <v>ERRO</v>
      </c>
      <c r="I16" t="str">
        <f>IF(ISBLANK('LL1 Parser Table'!K17),"ERRO",'LL1 Parser Table'!K17)</f>
        <v>ERRO</v>
      </c>
      <c r="J16" t="str">
        <f>IF(ISBLANK('LL1 Parser Table'!L17),"ERRO",'LL1 Parser Table'!L17)</f>
        <v>ERRO</v>
      </c>
      <c r="K16" t="str">
        <f>IF(ISBLANK('LL1 Parser Table'!M17),"ERRO",'LL1 Parser Table'!M17)</f>
        <v>ERRO</v>
      </c>
      <c r="L16" t="str">
        <f>IF(ISBLANK('LL1 Parser Table'!N17),"ERRO",'LL1 Parser Table'!N17)</f>
        <v>ERRO</v>
      </c>
      <c r="M16" t="str">
        <f>IF(ISBLANK('LL1 Parser Table'!O17),"ERRO",'LL1 Parser Table'!O17)</f>
        <v>ERRO</v>
      </c>
      <c r="N16" t="str">
        <f>IF(ISBLANK('LL1 Parser Table'!P17),"ERRO",'LL1 Parser Table'!P17)</f>
        <v>ERRO</v>
      </c>
      <c r="O16" t="str">
        <f>IF(ISBLANK('LL1 Parser Table'!Q17),"ERRO",'LL1 Parser Table'!Q17)</f>
        <v>ERRO</v>
      </c>
      <c r="P16" t="str">
        <f>IF(ISBLANK('LL1 Parser Table'!R17),"ERRO",'LL1 Parser Table'!R17)</f>
        <v>ERRO</v>
      </c>
      <c r="Q16" t="str">
        <f>IF(ISBLANK('LL1 Parser Table'!S17),"ERRO",'LL1 Parser Table'!S17)</f>
        <v>ERRO</v>
      </c>
      <c r="R16" t="str">
        <f>IF(ISBLANK('LL1 Parser Table'!T17),"ERRO",'LL1 Parser Table'!T17)</f>
        <v>VetorMatriz -&gt; vetor</v>
      </c>
      <c r="S16" t="str">
        <f>IF(ISBLANK('LL1 Parser Table'!U17),"ERRO",'LL1 Parser Table'!U17)</f>
        <v>VetorMatriz -&gt; matriz</v>
      </c>
      <c r="T16" t="str">
        <f>IF(ISBLANK('LL1 Parser Table'!V17),"ERRO",'LL1 Parser Table'!V17)</f>
        <v>ERRO</v>
      </c>
      <c r="U16" t="str">
        <f>IF(ISBLANK('LL1 Parser Table'!W17),"ERRO",'LL1 Parser Table'!W17)</f>
        <v>ERRO</v>
      </c>
      <c r="V16" t="str">
        <f>IF(ISBLANK('LL1 Parser Table'!X17),"ERRO",'LL1 Parser Table'!X17)</f>
        <v>ERRO</v>
      </c>
      <c r="W16" t="str">
        <f>IF(ISBLANK('LL1 Parser Table'!Y17),"ERRO",'LL1 Parser Table'!Y17)</f>
        <v>ERRO</v>
      </c>
      <c r="X16" t="str">
        <f>IF(ISBLANK('LL1 Parser Table'!Z17),"ERRO",'LL1 Parser Table'!Z17)</f>
        <v>ERRO</v>
      </c>
      <c r="Y16" t="str">
        <f>IF(ISBLANK('LL1 Parser Table'!AA17),"ERRO",'LL1 Parser Table'!AA17)</f>
        <v>ERRO</v>
      </c>
      <c r="Z16" t="str">
        <f>IF(ISBLANK('LL1 Parser Table'!AB17),"ERRO",'LL1 Parser Table'!AB17)</f>
        <v>ERRO</v>
      </c>
      <c r="AA16" t="str">
        <f>IF(ISBLANK('LL1 Parser Table'!AC17),"ERRO",'LL1 Parser Table'!AC17)</f>
        <v>ERRO</v>
      </c>
      <c r="AB16" t="str">
        <f>IF(ISBLANK('LL1 Parser Table'!AD17),"ERRO",'LL1 Parser Table'!AD17)</f>
        <v>ERRO</v>
      </c>
      <c r="AC16" t="str">
        <f>IF(ISBLANK('LL1 Parser Table'!AE17),"ERRO",'LL1 Parser Table'!AE17)</f>
        <v>ERRO</v>
      </c>
      <c r="AD16" t="str">
        <f>IF(ISBLANK('LL1 Parser Table'!AF17),"ERRO",'LL1 Parser Table'!AF17)</f>
        <v>ERRO</v>
      </c>
      <c r="AE16" t="str">
        <f>IF(ISBLANK('LL1 Parser Table'!AG17),"ERRO",'LL1 Parser Table'!AG17)</f>
        <v>ERRO</v>
      </c>
      <c r="AF16" t="str">
        <f>IF(ISBLANK('LL1 Parser Table'!AH17),"ERRO",'LL1 Parser Table'!AH17)</f>
        <v>ERRO</v>
      </c>
      <c r="AG16" t="str">
        <f>IF(ISBLANK('LL1 Parser Table'!AI17),"ERRO",'LL1 Parser Table'!AI17)</f>
        <v>ERRO</v>
      </c>
      <c r="AH16" t="str">
        <f>IF(ISBLANK('LL1 Parser Table'!AJ17),"ERRO",'LL1 Parser Table'!AJ17)</f>
        <v>ERRO</v>
      </c>
      <c r="AI16" t="str">
        <f>IF(ISBLANK('LL1 Parser Table'!AK17),"ERRO",'LL1 Parser Table'!AK17)</f>
        <v>ERRO</v>
      </c>
      <c r="AJ16" t="str">
        <f>IF(ISBLANK('LL1 Parser Table'!AL17),"ERRO",'LL1 Parser Table'!AL17)</f>
        <v>ERRO</v>
      </c>
      <c r="AK16" t="str">
        <f>IF(ISBLANK('LL1 Parser Table'!AM17),"ERRO",'LL1 Parser Table'!AM17)</f>
        <v>ERRO</v>
      </c>
      <c r="AL16" t="str">
        <f>IF(ISBLANK('LL1 Parser Table'!AN17),"ERRO",'LL1 Parser Table'!AN17)</f>
        <v>ERRO</v>
      </c>
      <c r="AM16" t="str">
        <f>IF(ISBLANK('LL1 Parser Table'!AO17),"ERRO",'LL1 Parser Table'!AO17)</f>
        <v>ERRO</v>
      </c>
      <c r="AN16" t="str">
        <f>IF(ISBLANK('LL1 Parser Table'!AP17),"ERRO",'LL1 Parser Table'!AP17)</f>
        <v>ERRO</v>
      </c>
      <c r="AO16" t="str">
        <f>IF(ISBLANK('LL1 Parser Table'!AQ17),"ERRO",'LL1 Parser Table'!AQ17)</f>
        <v>ERRO</v>
      </c>
      <c r="AP16" t="str">
        <f>IF(ISBLANK('LL1 Parser Table'!AR17),"ERRO",'LL1 Parser Table'!AR17)</f>
        <v>ERRO</v>
      </c>
      <c r="AQ16" t="str">
        <f>IF(ISBLANK('LL1 Parser Table'!AS17),"ERRO",'LL1 Parser Table'!AS17)</f>
        <v>ERRO</v>
      </c>
      <c r="AR16" t="str">
        <f>IF(ISBLANK('LL1 Parser Table'!AT17),"ERRO",'LL1 Parser Table'!AT17)</f>
        <v>ERRO</v>
      </c>
      <c r="AS16" t="str">
        <f>IF(ISBLANK('LL1 Parser Table'!AU17),"ERRO",'LL1 Parser Table'!AU17)</f>
        <v>ERRO</v>
      </c>
      <c r="AT16" t="str">
        <f>IF(ISBLANK('LL1 Parser Table'!AV17),"ERRO",'LL1 Parser Table'!AV17)</f>
        <v>ERRO</v>
      </c>
      <c r="AU16" t="str">
        <f>IF(ISBLANK('LL1 Parser Table'!AW17),"ERRO",'LL1 Parser Table'!AW17)</f>
        <v>ERRO</v>
      </c>
      <c r="AV16" t="str">
        <f>IF(ISBLANK('LL1 Parser Table'!AX17),"ERRO",'LL1 Parser Table'!AX17)</f>
        <v>ERRO</v>
      </c>
      <c r="AW16" t="str">
        <f>IF(ISBLANK('LL1 Parser Table'!AY17),"ERRO",'LL1 Parser Table'!AY17)</f>
        <v>ERRO</v>
      </c>
      <c r="AX16" t="str">
        <f>IF(ISBLANK('LL1 Parser Table'!AZ17),"ERRO",'LL1 Parser Table'!AZ17)</f>
        <v>ERRO</v>
      </c>
      <c r="AY16" t="str">
        <f>IF(ISBLANK('LL1 Parser Table'!BA17),"ERRO",'LL1 Parser Table'!BA17)</f>
        <v>ERRO</v>
      </c>
      <c r="AZ16" t="str">
        <f>IF(ISBLANK('LL1 Parser Table'!BB17),"ERRO",'LL1 Parser Table'!BB17)</f>
        <v>ERRO</v>
      </c>
      <c r="BA16" t="str">
        <f>IF(ISBLANK('LL1 Parser Table'!BC17),"ERRO",'LL1 Parser Table'!BC17)</f>
        <v>ERRO</v>
      </c>
      <c r="BB16" t="str">
        <f>IF(ISBLANK('LL1 Parser Table'!BD17),"ERRO",'LL1 Parser Table'!BD17)</f>
        <v>ERRO</v>
      </c>
      <c r="BC16" t="str">
        <f>IF(ISBLANK('LL1 Parser Table'!BE17),"ERRO",'LL1 Parser Table'!BE17)</f>
        <v>ERRO</v>
      </c>
      <c r="BD16" t="str">
        <f>IF(ISBLANK('LL1 Parser Table'!BF17),"ERRO",'LL1 Parser Table'!BF17)</f>
        <v>ERRO</v>
      </c>
      <c r="BE16" t="str">
        <f>IF(ISBLANK('LL1 Parser Table'!BG17),"ERRO",'LL1 Parser Table'!BG17)</f>
        <v>ERRO</v>
      </c>
    </row>
    <row r="17" spans="1:57" x14ac:dyDescent="0.35">
      <c r="A17">
        <v>16</v>
      </c>
      <c r="B17" s="8" t="str">
        <f>'LL1 Parser Table'!D18</f>
        <v>Dimensao</v>
      </c>
      <c r="C17" t="str">
        <f>IF(ISBLANK('LL1 Parser Table'!E18),"ERRO",'LL1 Parser Table'!E18)</f>
        <v>ERRO</v>
      </c>
      <c r="D17" t="str">
        <f>IF(ISBLANK('LL1 Parser Table'!F18),"ERRO",'LL1 Parser Table'!F18)</f>
        <v>ERRO</v>
      </c>
      <c r="E17" t="str">
        <f>IF(ISBLANK('LL1 Parser Table'!G18),"ERRO",'LL1 Parser Table'!G18)</f>
        <v>ERRO</v>
      </c>
      <c r="F17" t="str">
        <f>IF(ISBLANK('LL1 Parser Table'!H18),"ERRO",'LL1 Parser Table'!H18)</f>
        <v>ERRO</v>
      </c>
      <c r="G17" t="str">
        <f>IF(ISBLANK('LL1 Parser Table'!I18),"ERRO",'LL1 Parser Table'!I18)</f>
        <v>ERRO</v>
      </c>
      <c r="H17" t="str">
        <f>IF(ISBLANK('LL1 Parser Table'!J18),"ERRO",'LL1 Parser Table'!J18)</f>
        <v>ERRO</v>
      </c>
      <c r="I17" t="str">
        <f>IF(ISBLANK('LL1 Parser Table'!K18),"ERRO",'LL1 Parser Table'!K18)</f>
        <v>ERRO</v>
      </c>
      <c r="J17" t="str">
        <f>IF(ISBLANK('LL1 Parser Table'!L18),"ERRO",'LL1 Parser Table'!L18)</f>
        <v>ERRO</v>
      </c>
      <c r="K17" t="str">
        <f>IF(ISBLANK('LL1 Parser Table'!M18),"ERRO",'LL1 Parser Table'!M18)</f>
        <v>ERRO</v>
      </c>
      <c r="L17" t="str">
        <f>IF(ISBLANK('LL1 Parser Table'!N18),"ERRO",'LL1 Parser Table'!N18)</f>
        <v>ERRO</v>
      </c>
      <c r="M17" t="str">
        <f>IF(ISBLANK('LL1 Parser Table'!O18),"ERRO",'LL1 Parser Table'!O18)</f>
        <v>ERRO</v>
      </c>
      <c r="N17" t="str">
        <f>IF(ISBLANK('LL1 Parser Table'!P18),"ERRO",'LL1 Parser Table'!P18)</f>
        <v>ERRO</v>
      </c>
      <c r="O17" t="str">
        <f>IF(ISBLANK('LL1 Parser Table'!Q18),"ERRO",'LL1 Parser Table'!Q18)</f>
        <v>ERRO</v>
      </c>
      <c r="P17" t="str">
        <f>IF(ISBLANK('LL1 Parser Table'!R18),"ERRO",'LL1 Parser Table'!R18)</f>
        <v>ERRO</v>
      </c>
      <c r="Q17" t="str">
        <f>IF(ISBLANK('LL1 Parser Table'!S18),"ERRO",'LL1 Parser Table'!S18)</f>
        <v>ERRO</v>
      </c>
      <c r="R17" t="str">
        <f>IF(ISBLANK('LL1 Parser Table'!T18),"ERRO",'LL1 Parser Table'!T18)</f>
        <v>ERRO</v>
      </c>
      <c r="S17" t="str">
        <f>IF(ISBLANK('LL1 Parser Table'!U18),"ERRO",'LL1 Parser Table'!U18)</f>
        <v>ERRO</v>
      </c>
      <c r="T17" t="str">
        <f>IF(ISBLANK('LL1 Parser Table'!V18),"ERRO",'LL1 Parser Table'!V18)</f>
        <v>Dimensao -&gt; numero_inteiro : numero_inteiro DimensaoBonus</v>
      </c>
      <c r="U17" t="str">
        <f>IF(ISBLANK('LL1 Parser Table'!W18),"ERRO",'LL1 Parser Table'!W18)</f>
        <v>ERRO</v>
      </c>
      <c r="V17" t="str">
        <f>IF(ISBLANK('LL1 Parser Table'!X18),"ERRO",'LL1 Parser Table'!X18)</f>
        <v>ERRO</v>
      </c>
      <c r="W17" t="str">
        <f>IF(ISBLANK('LL1 Parser Table'!Y18),"ERRO",'LL1 Parser Table'!Y18)</f>
        <v>ERRO</v>
      </c>
      <c r="X17" t="str">
        <f>IF(ISBLANK('LL1 Parser Table'!Z18),"ERRO",'LL1 Parser Table'!Z18)</f>
        <v>ERRO</v>
      </c>
      <c r="Y17" t="str">
        <f>IF(ISBLANK('LL1 Parser Table'!AA18),"ERRO",'LL1 Parser Table'!AA18)</f>
        <v>ERRO</v>
      </c>
      <c r="Z17" t="str">
        <f>IF(ISBLANK('LL1 Parser Table'!AB18),"ERRO",'LL1 Parser Table'!AB18)</f>
        <v>ERRO</v>
      </c>
      <c r="AA17" t="str">
        <f>IF(ISBLANK('LL1 Parser Table'!AC18),"ERRO",'LL1 Parser Table'!AC18)</f>
        <v>ERRO</v>
      </c>
      <c r="AB17" t="str">
        <f>IF(ISBLANK('LL1 Parser Table'!AD18),"ERRO",'LL1 Parser Table'!AD18)</f>
        <v>ERRO</v>
      </c>
      <c r="AC17" t="str">
        <f>IF(ISBLANK('LL1 Parser Table'!AE18),"ERRO",'LL1 Parser Table'!AE18)</f>
        <v>ERRO</v>
      </c>
      <c r="AD17" t="str">
        <f>IF(ISBLANK('LL1 Parser Table'!AF18),"ERRO",'LL1 Parser Table'!AF18)</f>
        <v>ERRO</v>
      </c>
      <c r="AE17" t="str">
        <f>IF(ISBLANK('LL1 Parser Table'!AG18),"ERRO",'LL1 Parser Table'!AG18)</f>
        <v>ERRO</v>
      </c>
      <c r="AF17" t="str">
        <f>IF(ISBLANK('LL1 Parser Table'!AH18),"ERRO",'LL1 Parser Table'!AH18)</f>
        <v>ERRO</v>
      </c>
      <c r="AG17" t="str">
        <f>IF(ISBLANK('LL1 Parser Table'!AI18),"ERRO",'LL1 Parser Table'!AI18)</f>
        <v>ERRO</v>
      </c>
      <c r="AH17" t="str">
        <f>IF(ISBLANK('LL1 Parser Table'!AJ18),"ERRO",'LL1 Parser Table'!AJ18)</f>
        <v>ERRO</v>
      </c>
      <c r="AI17" t="str">
        <f>IF(ISBLANK('LL1 Parser Table'!AK18),"ERRO",'LL1 Parser Table'!AK18)</f>
        <v>ERRO</v>
      </c>
      <c r="AJ17" t="str">
        <f>IF(ISBLANK('LL1 Parser Table'!AL18),"ERRO",'LL1 Parser Table'!AL18)</f>
        <v>ERRO</v>
      </c>
      <c r="AK17" t="str">
        <f>IF(ISBLANK('LL1 Parser Table'!AM18),"ERRO",'LL1 Parser Table'!AM18)</f>
        <v>ERRO</v>
      </c>
      <c r="AL17" t="str">
        <f>IF(ISBLANK('LL1 Parser Table'!AN18),"ERRO",'LL1 Parser Table'!AN18)</f>
        <v>ERRO</v>
      </c>
      <c r="AM17" t="str">
        <f>IF(ISBLANK('LL1 Parser Table'!AO18),"ERRO",'LL1 Parser Table'!AO18)</f>
        <v>ERRO</v>
      </c>
      <c r="AN17" t="str">
        <f>IF(ISBLANK('LL1 Parser Table'!AP18),"ERRO",'LL1 Parser Table'!AP18)</f>
        <v>ERRO</v>
      </c>
      <c r="AO17" t="str">
        <f>IF(ISBLANK('LL1 Parser Table'!AQ18),"ERRO",'LL1 Parser Table'!AQ18)</f>
        <v>ERRO</v>
      </c>
      <c r="AP17" t="str">
        <f>IF(ISBLANK('LL1 Parser Table'!AR18),"ERRO",'LL1 Parser Table'!AR18)</f>
        <v>ERRO</v>
      </c>
      <c r="AQ17" t="str">
        <f>IF(ISBLANK('LL1 Parser Table'!AS18),"ERRO",'LL1 Parser Table'!AS18)</f>
        <v>ERRO</v>
      </c>
      <c r="AR17" t="str">
        <f>IF(ISBLANK('LL1 Parser Table'!AT18),"ERRO",'LL1 Parser Table'!AT18)</f>
        <v>ERRO</v>
      </c>
      <c r="AS17" t="str">
        <f>IF(ISBLANK('LL1 Parser Table'!AU18),"ERRO",'LL1 Parser Table'!AU18)</f>
        <v>ERRO</v>
      </c>
      <c r="AT17" t="str">
        <f>IF(ISBLANK('LL1 Parser Table'!AV18),"ERRO",'LL1 Parser Table'!AV18)</f>
        <v>ERRO</v>
      </c>
      <c r="AU17" t="str">
        <f>IF(ISBLANK('LL1 Parser Table'!AW18),"ERRO",'LL1 Parser Table'!AW18)</f>
        <v>ERRO</v>
      </c>
      <c r="AV17" t="str">
        <f>IF(ISBLANK('LL1 Parser Table'!AX18),"ERRO",'LL1 Parser Table'!AX18)</f>
        <v>ERRO</v>
      </c>
      <c r="AW17" t="str">
        <f>IF(ISBLANK('LL1 Parser Table'!AY18),"ERRO",'LL1 Parser Table'!AY18)</f>
        <v>ERRO</v>
      </c>
      <c r="AX17" t="str">
        <f>IF(ISBLANK('LL1 Parser Table'!AZ18),"ERRO",'LL1 Parser Table'!AZ18)</f>
        <v>ERRO</v>
      </c>
      <c r="AY17" t="str">
        <f>IF(ISBLANK('LL1 Parser Table'!BA18),"ERRO",'LL1 Parser Table'!BA18)</f>
        <v>ERRO</v>
      </c>
      <c r="AZ17" t="str">
        <f>IF(ISBLANK('LL1 Parser Table'!BB18),"ERRO",'LL1 Parser Table'!BB18)</f>
        <v>ERRO</v>
      </c>
      <c r="BA17" t="str">
        <f>IF(ISBLANK('LL1 Parser Table'!BC18),"ERRO",'LL1 Parser Table'!BC18)</f>
        <v>ERRO</v>
      </c>
      <c r="BB17" t="str">
        <f>IF(ISBLANK('LL1 Parser Table'!BD18),"ERRO",'LL1 Parser Table'!BD18)</f>
        <v>ERRO</v>
      </c>
      <c r="BC17" t="str">
        <f>IF(ISBLANK('LL1 Parser Table'!BE18),"ERRO",'LL1 Parser Table'!BE18)</f>
        <v>ERRO</v>
      </c>
      <c r="BD17" t="str">
        <f>IF(ISBLANK('LL1 Parser Table'!BF18),"ERRO",'LL1 Parser Table'!BF18)</f>
        <v>ERRO</v>
      </c>
      <c r="BE17" t="str">
        <f>IF(ISBLANK('LL1 Parser Table'!BG18),"ERRO",'LL1 Parser Table'!BG18)</f>
        <v>ERRO</v>
      </c>
    </row>
    <row r="18" spans="1:57" x14ac:dyDescent="0.35">
      <c r="A18">
        <v>17</v>
      </c>
      <c r="B18" s="8" t="str">
        <f>'LL1 Parser Table'!D19</f>
        <v>DimensaoBonus</v>
      </c>
      <c r="C18" t="str">
        <f>IF(ISBLANK('LL1 Parser Table'!E19),"ERRO",'LL1 Parser Table'!E19)</f>
        <v>ERRO</v>
      </c>
      <c r="D18" t="str">
        <f>IF(ISBLANK('LL1 Parser Table'!F19),"ERRO",'LL1 Parser Table'!F19)</f>
        <v>ERRO</v>
      </c>
      <c r="E18" t="str">
        <f>IF(ISBLANK('LL1 Parser Table'!G19),"ERRO",'LL1 Parser Table'!G19)</f>
        <v>ERRO</v>
      </c>
      <c r="F18" t="str">
        <f>IF(ISBLANK('LL1 Parser Table'!H19),"ERRO",'LL1 Parser Table'!H19)</f>
        <v>ERRO</v>
      </c>
      <c r="G18" t="str">
        <f>IF(ISBLANK('LL1 Parser Table'!I19),"ERRO",'LL1 Parser Table'!I19)</f>
        <v>ERRO</v>
      </c>
      <c r="H18" t="str">
        <f>IF(ISBLANK('LL1 Parser Table'!J19),"ERRO",'LL1 Parser Table'!J19)</f>
        <v>ERRO</v>
      </c>
      <c r="I18" t="str">
        <f>IF(ISBLANK('LL1 Parser Table'!K19),"ERRO",'LL1 Parser Table'!K19)</f>
        <v>ERRO</v>
      </c>
      <c r="J18" t="str">
        <f>IF(ISBLANK('LL1 Parser Table'!L19),"ERRO",'LL1 Parser Table'!L19)</f>
        <v>ERRO</v>
      </c>
      <c r="K18" t="str">
        <f>IF(ISBLANK('LL1 Parser Table'!M19),"ERRO",'LL1 Parser Table'!M19)</f>
        <v>ERRO</v>
      </c>
      <c r="L18" t="str">
        <f>IF(ISBLANK('LL1 Parser Table'!N19),"ERRO",'LL1 Parser Table'!N19)</f>
        <v>ERRO</v>
      </c>
      <c r="M18" t="str">
        <f>IF(ISBLANK('LL1 Parser Table'!O19),"ERRO",'LL1 Parser Table'!O19)</f>
        <v>ERRO</v>
      </c>
      <c r="N18" t="str">
        <f>IF(ISBLANK('LL1 Parser Table'!P19),"ERRO",'LL1 Parser Table'!P19)</f>
        <v>ERRO</v>
      </c>
      <c r="O18" t="str">
        <f>IF(ISBLANK('LL1 Parser Table'!Q19),"ERRO",'LL1 Parser Table'!Q19)</f>
        <v>ERRO</v>
      </c>
      <c r="P18" t="str">
        <f>IF(ISBLANK('LL1 Parser Table'!R19),"ERRO",'LL1 Parser Table'!R19)</f>
        <v>DimensaoBonus -&gt; ''</v>
      </c>
      <c r="Q18" t="str">
        <f>IF(ISBLANK('LL1 Parser Table'!S19),"ERRO",'LL1 Parser Table'!S19)</f>
        <v>DimensaoBonus -&gt; , Dimensao</v>
      </c>
      <c r="R18" t="str">
        <f>IF(ISBLANK('LL1 Parser Table'!T19),"ERRO",'LL1 Parser Table'!T19)</f>
        <v>ERRO</v>
      </c>
      <c r="S18" t="str">
        <f>IF(ISBLANK('LL1 Parser Table'!U19),"ERRO",'LL1 Parser Table'!U19)</f>
        <v>ERRO</v>
      </c>
      <c r="T18" t="str">
        <f>IF(ISBLANK('LL1 Parser Table'!V19),"ERRO",'LL1 Parser Table'!V19)</f>
        <v>ERRO</v>
      </c>
      <c r="U18" t="str">
        <f>IF(ISBLANK('LL1 Parser Table'!W19),"ERRO",'LL1 Parser Table'!W19)</f>
        <v>ERRO</v>
      </c>
      <c r="V18" t="str">
        <f>IF(ISBLANK('LL1 Parser Table'!X19),"ERRO",'LL1 Parser Table'!X19)</f>
        <v>ERRO</v>
      </c>
      <c r="W18" t="str">
        <f>IF(ISBLANK('LL1 Parser Table'!Y19),"ERRO",'LL1 Parser Table'!Y19)</f>
        <v>ERRO</v>
      </c>
      <c r="X18" t="str">
        <f>IF(ISBLANK('LL1 Parser Table'!Z19),"ERRO",'LL1 Parser Table'!Z19)</f>
        <v>ERRO</v>
      </c>
      <c r="Y18" t="str">
        <f>IF(ISBLANK('LL1 Parser Table'!AA19),"ERRO",'LL1 Parser Table'!AA19)</f>
        <v>ERRO</v>
      </c>
      <c r="Z18" t="str">
        <f>IF(ISBLANK('LL1 Parser Table'!AB19),"ERRO",'LL1 Parser Table'!AB19)</f>
        <v>ERRO</v>
      </c>
      <c r="AA18" t="str">
        <f>IF(ISBLANK('LL1 Parser Table'!AC19),"ERRO",'LL1 Parser Table'!AC19)</f>
        <v>ERRO</v>
      </c>
      <c r="AB18" t="str">
        <f>IF(ISBLANK('LL1 Parser Table'!AD19),"ERRO",'LL1 Parser Table'!AD19)</f>
        <v>ERRO</v>
      </c>
      <c r="AC18" t="str">
        <f>IF(ISBLANK('LL1 Parser Table'!AE19),"ERRO",'LL1 Parser Table'!AE19)</f>
        <v>ERRO</v>
      </c>
      <c r="AD18" t="str">
        <f>IF(ISBLANK('LL1 Parser Table'!AF19),"ERRO",'LL1 Parser Table'!AF19)</f>
        <v>ERRO</v>
      </c>
      <c r="AE18" t="str">
        <f>IF(ISBLANK('LL1 Parser Table'!AG19),"ERRO",'LL1 Parser Table'!AG19)</f>
        <v>ERRO</v>
      </c>
      <c r="AF18" t="str">
        <f>IF(ISBLANK('LL1 Parser Table'!AH19),"ERRO",'LL1 Parser Table'!AH19)</f>
        <v>ERRO</v>
      </c>
      <c r="AG18" t="str">
        <f>IF(ISBLANK('LL1 Parser Table'!AI19),"ERRO",'LL1 Parser Table'!AI19)</f>
        <v>ERRO</v>
      </c>
      <c r="AH18" t="str">
        <f>IF(ISBLANK('LL1 Parser Table'!AJ19),"ERRO",'LL1 Parser Table'!AJ19)</f>
        <v>ERRO</v>
      </c>
      <c r="AI18" t="str">
        <f>IF(ISBLANK('LL1 Parser Table'!AK19),"ERRO",'LL1 Parser Table'!AK19)</f>
        <v>ERRO</v>
      </c>
      <c r="AJ18" t="str">
        <f>IF(ISBLANK('LL1 Parser Table'!AL19),"ERRO",'LL1 Parser Table'!AL19)</f>
        <v>ERRO</v>
      </c>
      <c r="AK18" t="str">
        <f>IF(ISBLANK('LL1 Parser Table'!AM19),"ERRO",'LL1 Parser Table'!AM19)</f>
        <v>ERRO</v>
      </c>
      <c r="AL18" t="str">
        <f>IF(ISBLANK('LL1 Parser Table'!AN19),"ERRO",'LL1 Parser Table'!AN19)</f>
        <v>ERRO</v>
      </c>
      <c r="AM18" t="str">
        <f>IF(ISBLANK('LL1 Parser Table'!AO19),"ERRO",'LL1 Parser Table'!AO19)</f>
        <v>ERRO</v>
      </c>
      <c r="AN18" t="str">
        <f>IF(ISBLANK('LL1 Parser Table'!AP19),"ERRO",'LL1 Parser Table'!AP19)</f>
        <v>ERRO</v>
      </c>
      <c r="AO18" t="str">
        <f>IF(ISBLANK('LL1 Parser Table'!AQ19),"ERRO",'LL1 Parser Table'!AQ19)</f>
        <v>ERRO</v>
      </c>
      <c r="AP18" t="str">
        <f>IF(ISBLANK('LL1 Parser Table'!AR19),"ERRO",'LL1 Parser Table'!AR19)</f>
        <v>ERRO</v>
      </c>
      <c r="AQ18" t="str">
        <f>IF(ISBLANK('LL1 Parser Table'!AS19),"ERRO",'LL1 Parser Table'!AS19)</f>
        <v>ERRO</v>
      </c>
      <c r="AR18" t="str">
        <f>IF(ISBLANK('LL1 Parser Table'!AT19),"ERRO",'LL1 Parser Table'!AT19)</f>
        <v>ERRO</v>
      </c>
      <c r="AS18" t="str">
        <f>IF(ISBLANK('LL1 Parser Table'!AU19),"ERRO",'LL1 Parser Table'!AU19)</f>
        <v>ERRO</v>
      </c>
      <c r="AT18" t="str">
        <f>IF(ISBLANK('LL1 Parser Table'!AV19),"ERRO",'LL1 Parser Table'!AV19)</f>
        <v>ERRO</v>
      </c>
      <c r="AU18" t="str">
        <f>IF(ISBLANK('LL1 Parser Table'!AW19),"ERRO",'LL1 Parser Table'!AW19)</f>
        <v>ERRO</v>
      </c>
      <c r="AV18" t="str">
        <f>IF(ISBLANK('LL1 Parser Table'!AX19),"ERRO",'LL1 Parser Table'!AX19)</f>
        <v>ERRO</v>
      </c>
      <c r="AW18" t="str">
        <f>IF(ISBLANK('LL1 Parser Table'!AY19),"ERRO",'LL1 Parser Table'!AY19)</f>
        <v>ERRO</v>
      </c>
      <c r="AX18" t="str">
        <f>IF(ISBLANK('LL1 Parser Table'!AZ19),"ERRO",'LL1 Parser Table'!AZ19)</f>
        <v>ERRO</v>
      </c>
      <c r="AY18" t="str">
        <f>IF(ISBLANK('LL1 Parser Table'!BA19),"ERRO",'LL1 Parser Table'!BA19)</f>
        <v>ERRO</v>
      </c>
      <c r="AZ18" t="str">
        <f>IF(ISBLANK('LL1 Parser Table'!BB19),"ERRO",'LL1 Parser Table'!BB19)</f>
        <v>ERRO</v>
      </c>
      <c r="BA18" t="str">
        <f>IF(ISBLANK('LL1 Parser Table'!BC19),"ERRO",'LL1 Parser Table'!BC19)</f>
        <v>ERRO</v>
      </c>
      <c r="BB18" t="str">
        <f>IF(ISBLANK('LL1 Parser Table'!BD19),"ERRO",'LL1 Parser Table'!BD19)</f>
        <v>ERRO</v>
      </c>
      <c r="BC18" t="str">
        <f>IF(ISBLANK('LL1 Parser Table'!BE19),"ERRO",'LL1 Parser Table'!BE19)</f>
        <v>ERRO</v>
      </c>
      <c r="BD18" t="str">
        <f>IF(ISBLANK('LL1 Parser Table'!BF19),"ERRO",'LL1 Parser Table'!BF19)</f>
        <v>ERRO</v>
      </c>
      <c r="BE18" t="str">
        <f>IF(ISBLANK('LL1 Parser Table'!BG19),"ERRO",'LL1 Parser Table'!BG19)</f>
        <v>ERRO</v>
      </c>
    </row>
    <row r="19" spans="1:57" x14ac:dyDescent="0.35">
      <c r="A19">
        <v>18</v>
      </c>
      <c r="B19" s="8" t="str">
        <f>'LL1 Parser Table'!D20</f>
        <v>TipoBasico</v>
      </c>
      <c r="C19" t="str">
        <f>IF(ISBLANK('LL1 Parser Table'!E20),"ERRO",'LL1 Parser Table'!E20)</f>
        <v>ERRO</v>
      </c>
      <c r="D19" t="str">
        <f>IF(ISBLANK('LL1 Parser Table'!F20),"ERRO",'LL1 Parser Table'!F20)</f>
        <v>TipoBasico -&gt; identificador</v>
      </c>
      <c r="E19" t="str">
        <f>IF(ISBLANK('LL1 Parser Table'!G20),"ERRO",'LL1 Parser Table'!G20)</f>
        <v>ERRO</v>
      </c>
      <c r="F19" t="str">
        <f>IF(ISBLANK('LL1 Parser Table'!H20),"ERRO",'LL1 Parser Table'!H20)</f>
        <v>ERRO</v>
      </c>
      <c r="G19" t="str">
        <f>IF(ISBLANK('LL1 Parser Table'!I20),"ERRO",'LL1 Parser Table'!I20)</f>
        <v>ERRO</v>
      </c>
      <c r="H19" t="str">
        <f>IF(ISBLANK('LL1 Parser Table'!J20),"ERRO",'LL1 Parser Table'!J20)</f>
        <v>ERRO</v>
      </c>
      <c r="I19" t="str">
        <f>IF(ISBLANK('LL1 Parser Table'!K20),"ERRO",'LL1 Parser Table'!K20)</f>
        <v>ERRO</v>
      </c>
      <c r="J19" t="str">
        <f>IF(ISBLANK('LL1 Parser Table'!L20),"ERRO",'LL1 Parser Table'!L20)</f>
        <v>ERRO</v>
      </c>
      <c r="K19" t="str">
        <f>IF(ISBLANK('LL1 Parser Table'!M20),"ERRO",'LL1 Parser Table'!M20)</f>
        <v>ERRO</v>
      </c>
      <c r="L19" t="str">
        <f>IF(ISBLANK('LL1 Parser Table'!N20),"ERRO",'LL1 Parser Table'!N20)</f>
        <v>ERRO</v>
      </c>
      <c r="M19" t="str">
        <f>IF(ISBLANK('LL1 Parser Table'!O20),"ERRO",'LL1 Parser Table'!O20)</f>
        <v>ERRO</v>
      </c>
      <c r="N19" t="str">
        <f>IF(ISBLANK('LL1 Parser Table'!P20),"ERRO",'LL1 Parser Table'!P20)</f>
        <v>ERRO</v>
      </c>
      <c r="O19" t="str">
        <f>IF(ISBLANK('LL1 Parser Table'!Q20),"ERRO",'LL1 Parser Table'!Q20)</f>
        <v>ERRO</v>
      </c>
      <c r="P19" t="str">
        <f>IF(ISBLANK('LL1 Parser Table'!R20),"ERRO",'LL1 Parser Table'!R20)</f>
        <v>ERRO</v>
      </c>
      <c r="Q19" t="str">
        <f>IF(ISBLANK('LL1 Parser Table'!S20),"ERRO",'LL1 Parser Table'!S20)</f>
        <v>ERRO</v>
      </c>
      <c r="R19" t="str">
        <f>IF(ISBLANK('LL1 Parser Table'!T20),"ERRO",'LL1 Parser Table'!T20)</f>
        <v>ERRO</v>
      </c>
      <c r="S19" t="str">
        <f>IF(ISBLANK('LL1 Parser Table'!U20),"ERRO",'LL1 Parser Table'!U20)</f>
        <v>ERRO</v>
      </c>
      <c r="T19" t="str">
        <f>IF(ISBLANK('LL1 Parser Table'!V20),"ERRO",'LL1 Parser Table'!V20)</f>
        <v>ERRO</v>
      </c>
      <c r="U19" t="str">
        <f>IF(ISBLANK('LL1 Parser Table'!W20),"ERRO",'LL1 Parser Table'!W20)</f>
        <v>TipoBasico -&gt; inteiro</v>
      </c>
      <c r="V19" t="str">
        <f>IF(ISBLANK('LL1 Parser Table'!X20),"ERRO",'LL1 Parser Table'!X20)</f>
        <v>TipoBasico -&gt; real</v>
      </c>
      <c r="W19" t="str">
        <f>IF(ISBLANK('LL1 Parser Table'!Y20),"ERRO",'LL1 Parser Table'!Y20)</f>
        <v>TipoBasico -&gt; caractere</v>
      </c>
      <c r="X19" t="str">
        <f>IF(ISBLANK('LL1 Parser Table'!Z20),"ERRO",'LL1 Parser Table'!Z20)</f>
        <v>TipoBasico -&gt; logico</v>
      </c>
      <c r="Y19" t="str">
        <f>IF(ISBLANK('LL1 Parser Table'!AA20),"ERRO",'LL1 Parser Table'!AA20)</f>
        <v>ERRO</v>
      </c>
      <c r="Z19" t="str">
        <f>IF(ISBLANK('LL1 Parser Table'!AB20),"ERRO",'LL1 Parser Table'!AB20)</f>
        <v>ERRO</v>
      </c>
      <c r="AA19" t="str">
        <f>IF(ISBLANK('LL1 Parser Table'!AC20),"ERRO",'LL1 Parser Table'!AC20)</f>
        <v>ERRO</v>
      </c>
      <c r="AB19" t="str">
        <f>IF(ISBLANK('LL1 Parser Table'!AD20),"ERRO",'LL1 Parser Table'!AD20)</f>
        <v>ERRO</v>
      </c>
      <c r="AC19" t="str">
        <f>IF(ISBLANK('LL1 Parser Table'!AE20),"ERRO",'LL1 Parser Table'!AE20)</f>
        <v>ERRO</v>
      </c>
      <c r="AD19" t="str">
        <f>IF(ISBLANK('LL1 Parser Table'!AF20),"ERRO",'LL1 Parser Table'!AF20)</f>
        <v>ERRO</v>
      </c>
      <c r="AE19" t="str">
        <f>IF(ISBLANK('LL1 Parser Table'!AG20),"ERRO",'LL1 Parser Table'!AG20)</f>
        <v>ERRO</v>
      </c>
      <c r="AF19" t="str">
        <f>IF(ISBLANK('LL1 Parser Table'!AH20),"ERRO",'LL1 Parser Table'!AH20)</f>
        <v>ERRO</v>
      </c>
      <c r="AG19" t="str">
        <f>IF(ISBLANK('LL1 Parser Table'!AI20),"ERRO",'LL1 Parser Table'!AI20)</f>
        <v>ERRO</v>
      </c>
      <c r="AH19" t="str">
        <f>IF(ISBLANK('LL1 Parser Table'!AJ20),"ERRO",'LL1 Parser Table'!AJ20)</f>
        <v>ERRO</v>
      </c>
      <c r="AI19" t="str">
        <f>IF(ISBLANK('LL1 Parser Table'!AK20),"ERRO",'LL1 Parser Table'!AK20)</f>
        <v>ERRO</v>
      </c>
      <c r="AJ19" t="str">
        <f>IF(ISBLANK('LL1 Parser Table'!AL20),"ERRO",'LL1 Parser Table'!AL20)</f>
        <v>ERRO</v>
      </c>
      <c r="AK19" t="str">
        <f>IF(ISBLANK('LL1 Parser Table'!AM20),"ERRO",'LL1 Parser Table'!AM20)</f>
        <v>ERRO</v>
      </c>
      <c r="AL19" t="str">
        <f>IF(ISBLANK('LL1 Parser Table'!AN20),"ERRO",'LL1 Parser Table'!AN20)</f>
        <v>ERRO</v>
      </c>
      <c r="AM19" t="str">
        <f>IF(ISBLANK('LL1 Parser Table'!AO20),"ERRO",'LL1 Parser Table'!AO20)</f>
        <v>ERRO</v>
      </c>
      <c r="AN19" t="str">
        <f>IF(ISBLANK('LL1 Parser Table'!AP20),"ERRO",'LL1 Parser Table'!AP20)</f>
        <v>ERRO</v>
      </c>
      <c r="AO19" t="str">
        <f>IF(ISBLANK('LL1 Parser Table'!AQ20),"ERRO",'LL1 Parser Table'!AQ20)</f>
        <v>ERRO</v>
      </c>
      <c r="AP19" t="str">
        <f>IF(ISBLANK('LL1 Parser Table'!AR20),"ERRO",'LL1 Parser Table'!AR20)</f>
        <v>ERRO</v>
      </c>
      <c r="AQ19" t="str">
        <f>IF(ISBLANK('LL1 Parser Table'!AS20),"ERRO",'LL1 Parser Table'!AS20)</f>
        <v>ERRO</v>
      </c>
      <c r="AR19" t="str">
        <f>IF(ISBLANK('LL1 Parser Table'!AT20),"ERRO",'LL1 Parser Table'!AT20)</f>
        <v>ERRO</v>
      </c>
      <c r="AS19" t="str">
        <f>IF(ISBLANK('LL1 Parser Table'!AU20),"ERRO",'LL1 Parser Table'!AU20)</f>
        <v>ERRO</v>
      </c>
      <c r="AT19" t="str">
        <f>IF(ISBLANK('LL1 Parser Table'!AV20),"ERRO",'LL1 Parser Table'!AV20)</f>
        <v>ERRO</v>
      </c>
      <c r="AU19" t="str">
        <f>IF(ISBLANK('LL1 Parser Table'!AW20),"ERRO",'LL1 Parser Table'!AW20)</f>
        <v>ERRO</v>
      </c>
      <c r="AV19" t="str">
        <f>IF(ISBLANK('LL1 Parser Table'!AX20),"ERRO",'LL1 Parser Table'!AX20)</f>
        <v>ERRO</v>
      </c>
      <c r="AW19" t="str">
        <f>IF(ISBLANK('LL1 Parser Table'!AY20),"ERRO",'LL1 Parser Table'!AY20)</f>
        <v>ERRO</v>
      </c>
      <c r="AX19" t="str">
        <f>IF(ISBLANK('LL1 Parser Table'!AZ20),"ERRO",'LL1 Parser Table'!AZ20)</f>
        <v>ERRO</v>
      </c>
      <c r="AY19" t="str">
        <f>IF(ISBLANK('LL1 Parser Table'!BA20),"ERRO",'LL1 Parser Table'!BA20)</f>
        <v>ERRO</v>
      </c>
      <c r="AZ19" t="str">
        <f>IF(ISBLANK('LL1 Parser Table'!BB20),"ERRO",'LL1 Parser Table'!BB20)</f>
        <v>ERRO</v>
      </c>
      <c r="BA19" t="str">
        <f>IF(ISBLANK('LL1 Parser Table'!BC20),"ERRO",'LL1 Parser Table'!BC20)</f>
        <v>ERRO</v>
      </c>
      <c r="BB19" t="str">
        <f>IF(ISBLANK('LL1 Parser Table'!BD20),"ERRO",'LL1 Parser Table'!BD20)</f>
        <v>ERRO</v>
      </c>
      <c r="BC19" t="str">
        <f>IF(ISBLANK('LL1 Parser Table'!BE20),"ERRO",'LL1 Parser Table'!BE20)</f>
        <v>ERRO</v>
      </c>
      <c r="BD19" t="str">
        <f>IF(ISBLANK('LL1 Parser Table'!BF20),"ERRO",'LL1 Parser Table'!BF20)</f>
        <v>ERRO</v>
      </c>
      <c r="BE19" t="str">
        <f>IF(ISBLANK('LL1 Parser Table'!BG20),"ERRO",'LL1 Parser Table'!BG20)</f>
        <v>ERRO</v>
      </c>
    </row>
    <row r="20" spans="1:57" x14ac:dyDescent="0.35">
      <c r="A20">
        <v>19</v>
      </c>
      <c r="B20" s="8" t="str">
        <f>'LL1 Parser Table'!D21</f>
        <v>BlocoComandos</v>
      </c>
      <c r="C20" t="str">
        <f>IF(ISBLANK('LL1 Parser Table'!E21),"ERRO",'LL1 Parser Table'!E21)</f>
        <v>ERRO</v>
      </c>
      <c r="D20" t="str">
        <f>IF(ISBLANK('LL1 Parser Table'!F21),"ERRO",'LL1 Parser Table'!F21)</f>
        <v>ERRO</v>
      </c>
      <c r="E20" t="str">
        <f>IF(ISBLANK('LL1 Parser Table'!G21),"ERRO",'LL1 Parser Table'!G21)</f>
        <v>ERRO</v>
      </c>
      <c r="F20" t="str">
        <f>IF(ISBLANK('LL1 Parser Table'!H21),"ERRO",'LL1 Parser Table'!H21)</f>
        <v>ERRO</v>
      </c>
      <c r="G20" t="str">
        <f>IF(ISBLANK('LL1 Parser Table'!I21),"ERRO",'LL1 Parser Table'!I21)</f>
        <v>ERRO</v>
      </c>
      <c r="H20" t="str">
        <f>IF(ISBLANK('LL1 Parser Table'!J21),"ERRO",'LL1 Parser Table'!J21)</f>
        <v>ERRO</v>
      </c>
      <c r="I20" t="str">
        <f>IF(ISBLANK('LL1 Parser Table'!K21),"ERRO",'LL1 Parser Table'!K21)</f>
        <v>ERRO</v>
      </c>
      <c r="J20" t="str">
        <f>IF(ISBLANK('LL1 Parser Table'!L21),"ERRO",'LL1 Parser Table'!L21)</f>
        <v>ERRO</v>
      </c>
      <c r="K20" t="str">
        <f>IF(ISBLANK('LL1 Parser Table'!M21),"ERRO",'LL1 Parser Table'!M21)</f>
        <v>ERRO</v>
      </c>
      <c r="L20" t="str">
        <f>IF(ISBLANK('LL1 Parser Table'!N21),"ERRO",'LL1 Parser Table'!N21)</f>
        <v>ERRO</v>
      </c>
      <c r="M20" t="str">
        <f>IF(ISBLANK('LL1 Parser Table'!O21),"ERRO",'LL1 Parser Table'!O21)</f>
        <v>ERRO</v>
      </c>
      <c r="N20" t="str">
        <f>IF(ISBLANK('LL1 Parser Table'!P21),"ERRO",'LL1 Parser Table'!P21)</f>
        <v>ERRO</v>
      </c>
      <c r="O20" t="str">
        <f>IF(ISBLANK('LL1 Parser Table'!Q21),"ERRO",'LL1 Parser Table'!Q21)</f>
        <v>ERRO</v>
      </c>
      <c r="P20" t="str">
        <f>IF(ISBLANK('LL1 Parser Table'!R21),"ERRO",'LL1 Parser Table'!R21)</f>
        <v>ERRO</v>
      </c>
      <c r="Q20" t="str">
        <f>IF(ISBLANK('LL1 Parser Table'!S21),"ERRO",'LL1 Parser Table'!S21)</f>
        <v>ERRO</v>
      </c>
      <c r="R20" t="str">
        <f>IF(ISBLANK('LL1 Parser Table'!T21),"ERRO",'LL1 Parser Table'!T21)</f>
        <v>ERRO</v>
      </c>
      <c r="S20" t="str">
        <f>IF(ISBLANK('LL1 Parser Table'!U21),"ERRO",'LL1 Parser Table'!U21)</f>
        <v>ERRO</v>
      </c>
      <c r="T20" t="str">
        <f>IF(ISBLANK('LL1 Parser Table'!V21),"ERRO",'LL1 Parser Table'!V21)</f>
        <v>ERRO</v>
      </c>
      <c r="U20" t="str">
        <f>IF(ISBLANK('LL1 Parser Table'!W21),"ERRO",'LL1 Parser Table'!W21)</f>
        <v>ERRO</v>
      </c>
      <c r="V20" t="str">
        <f>IF(ISBLANK('LL1 Parser Table'!X21),"ERRO",'LL1 Parser Table'!X21)</f>
        <v>ERRO</v>
      </c>
      <c r="W20" t="str">
        <f>IF(ISBLANK('LL1 Parser Table'!Y21),"ERRO",'LL1 Parser Table'!Y21)</f>
        <v>ERRO</v>
      </c>
      <c r="X20" t="str">
        <f>IF(ISBLANK('LL1 Parser Table'!Z21),"ERRO",'LL1 Parser Table'!Z21)</f>
        <v>ERRO</v>
      </c>
      <c r="Y20" t="str">
        <f>IF(ISBLANK('LL1 Parser Table'!AA21),"ERRO",'LL1 Parser Table'!AA21)</f>
        <v>BlocoComandos -&gt; inicio ListaComandos fim</v>
      </c>
      <c r="Z20" t="str">
        <f>IF(ISBLANK('LL1 Parser Table'!AB21),"ERRO",'LL1 Parser Table'!AB21)</f>
        <v>ERRO</v>
      </c>
      <c r="AA20" t="str">
        <f>IF(ISBLANK('LL1 Parser Table'!AC21),"ERRO",'LL1 Parser Table'!AC21)</f>
        <v>ERRO</v>
      </c>
      <c r="AB20" t="str">
        <f>IF(ISBLANK('LL1 Parser Table'!AD21),"ERRO",'LL1 Parser Table'!AD21)</f>
        <v>ERRO</v>
      </c>
      <c r="AC20" t="str">
        <f>IF(ISBLANK('LL1 Parser Table'!AE21),"ERRO",'LL1 Parser Table'!AE21)</f>
        <v>ERRO</v>
      </c>
      <c r="AD20" t="str">
        <f>IF(ISBLANK('LL1 Parser Table'!AF21),"ERRO",'LL1 Parser Table'!AF21)</f>
        <v>ERRO</v>
      </c>
      <c r="AE20" t="str">
        <f>IF(ISBLANK('LL1 Parser Table'!AG21),"ERRO",'LL1 Parser Table'!AG21)</f>
        <v>ERRO</v>
      </c>
      <c r="AF20" t="str">
        <f>IF(ISBLANK('LL1 Parser Table'!AH21),"ERRO",'LL1 Parser Table'!AH21)</f>
        <v>ERRO</v>
      </c>
      <c r="AG20" t="str">
        <f>IF(ISBLANK('LL1 Parser Table'!AI21),"ERRO",'LL1 Parser Table'!AI21)</f>
        <v>ERRO</v>
      </c>
      <c r="AH20" t="str">
        <f>IF(ISBLANK('LL1 Parser Table'!AJ21),"ERRO",'LL1 Parser Table'!AJ21)</f>
        <v>ERRO</v>
      </c>
      <c r="AI20" t="str">
        <f>IF(ISBLANK('LL1 Parser Table'!AK21),"ERRO",'LL1 Parser Table'!AK21)</f>
        <v>ERRO</v>
      </c>
      <c r="AJ20" t="str">
        <f>IF(ISBLANK('LL1 Parser Table'!AL21),"ERRO",'LL1 Parser Table'!AL21)</f>
        <v>ERRO</v>
      </c>
      <c r="AK20" t="str">
        <f>IF(ISBLANK('LL1 Parser Table'!AM21),"ERRO",'LL1 Parser Table'!AM21)</f>
        <v>ERRO</v>
      </c>
      <c r="AL20" t="str">
        <f>IF(ISBLANK('LL1 Parser Table'!AN21),"ERRO",'LL1 Parser Table'!AN21)</f>
        <v>ERRO</v>
      </c>
      <c r="AM20" t="str">
        <f>IF(ISBLANK('LL1 Parser Table'!AO21),"ERRO",'LL1 Parser Table'!AO21)</f>
        <v>ERRO</v>
      </c>
      <c r="AN20" t="str">
        <f>IF(ISBLANK('LL1 Parser Table'!AP21),"ERRO",'LL1 Parser Table'!AP21)</f>
        <v>ERRO</v>
      </c>
      <c r="AO20" t="str">
        <f>IF(ISBLANK('LL1 Parser Table'!AQ21),"ERRO",'LL1 Parser Table'!AQ21)</f>
        <v>ERRO</v>
      </c>
      <c r="AP20" t="str">
        <f>IF(ISBLANK('LL1 Parser Table'!AR21),"ERRO",'LL1 Parser Table'!AR21)</f>
        <v>ERRO</v>
      </c>
      <c r="AQ20" t="str">
        <f>IF(ISBLANK('LL1 Parser Table'!AS21),"ERRO",'LL1 Parser Table'!AS21)</f>
        <v>ERRO</v>
      </c>
      <c r="AR20" t="str">
        <f>IF(ISBLANK('LL1 Parser Table'!AT21),"ERRO",'LL1 Parser Table'!AT21)</f>
        <v>ERRO</v>
      </c>
      <c r="AS20" t="str">
        <f>IF(ISBLANK('LL1 Parser Table'!AU21),"ERRO",'LL1 Parser Table'!AU21)</f>
        <v>ERRO</v>
      </c>
      <c r="AT20" t="str">
        <f>IF(ISBLANK('LL1 Parser Table'!AV21),"ERRO",'LL1 Parser Table'!AV21)</f>
        <v>ERRO</v>
      </c>
      <c r="AU20" t="str">
        <f>IF(ISBLANK('LL1 Parser Table'!AW21),"ERRO",'LL1 Parser Table'!AW21)</f>
        <v>ERRO</v>
      </c>
      <c r="AV20" t="str">
        <f>IF(ISBLANK('LL1 Parser Table'!AX21),"ERRO",'LL1 Parser Table'!AX21)</f>
        <v>ERRO</v>
      </c>
      <c r="AW20" t="str">
        <f>IF(ISBLANK('LL1 Parser Table'!AY21),"ERRO",'LL1 Parser Table'!AY21)</f>
        <v>ERRO</v>
      </c>
      <c r="AX20" t="str">
        <f>IF(ISBLANK('LL1 Parser Table'!AZ21),"ERRO",'LL1 Parser Table'!AZ21)</f>
        <v>ERRO</v>
      </c>
      <c r="AY20" t="str">
        <f>IF(ISBLANK('LL1 Parser Table'!BA21),"ERRO",'LL1 Parser Table'!BA21)</f>
        <v>ERRO</v>
      </c>
      <c r="AZ20" t="str">
        <f>IF(ISBLANK('LL1 Parser Table'!BB21),"ERRO",'LL1 Parser Table'!BB21)</f>
        <v>ERRO</v>
      </c>
      <c r="BA20" t="str">
        <f>IF(ISBLANK('LL1 Parser Table'!BC21),"ERRO",'LL1 Parser Table'!BC21)</f>
        <v>ERRO</v>
      </c>
      <c r="BB20" t="str">
        <f>IF(ISBLANK('LL1 Parser Table'!BD21),"ERRO",'LL1 Parser Table'!BD21)</f>
        <v>ERRO</v>
      </c>
      <c r="BC20" t="str">
        <f>IF(ISBLANK('LL1 Parser Table'!BE21),"ERRO",'LL1 Parser Table'!BE21)</f>
        <v>ERRO</v>
      </c>
      <c r="BD20" t="str">
        <f>IF(ISBLANK('LL1 Parser Table'!BF21),"ERRO",'LL1 Parser Table'!BF21)</f>
        <v>ERRO</v>
      </c>
      <c r="BE20" t="str">
        <f>IF(ISBLANK('LL1 Parser Table'!BG21),"ERRO",'LL1 Parser Table'!BG21)</f>
        <v>ERRO</v>
      </c>
    </row>
    <row r="21" spans="1:57" x14ac:dyDescent="0.35">
      <c r="A21">
        <v>20</v>
      </c>
      <c r="B21" s="8" t="str">
        <f>'LL1 Parser Table'!D22</f>
        <v>ListaComandos</v>
      </c>
      <c r="C21" t="str">
        <f>IF(ISBLANK('LL1 Parser Table'!E22),"ERRO",'LL1 Parser Table'!E22)</f>
        <v>ERRO</v>
      </c>
      <c r="D21" t="str">
        <f>IF(ISBLANK('LL1 Parser Table'!F22),"ERRO",'LL1 Parser Table'!F22)</f>
        <v>ListaComandos -&gt; Comandos ; ListaComandosBonus</v>
      </c>
      <c r="E21" t="str">
        <f>IF(ISBLANK('LL1 Parser Table'!G22),"ERRO",'LL1 Parser Table'!G22)</f>
        <v>ERRO</v>
      </c>
      <c r="F21" t="str">
        <f>IF(ISBLANK('LL1 Parser Table'!H22),"ERRO",'LL1 Parser Table'!H22)</f>
        <v>ERRO</v>
      </c>
      <c r="G21" t="str">
        <f>IF(ISBLANK('LL1 Parser Table'!I22),"ERRO",'LL1 Parser Table'!I22)</f>
        <v>ERRO</v>
      </c>
      <c r="H21" t="str">
        <f>IF(ISBLANK('LL1 Parser Table'!J22),"ERRO",'LL1 Parser Table'!J22)</f>
        <v>ERRO</v>
      </c>
      <c r="I21" t="str">
        <f>IF(ISBLANK('LL1 Parser Table'!K22),"ERRO",'LL1 Parser Table'!K22)</f>
        <v>ERRO</v>
      </c>
      <c r="J21" t="str">
        <f>IF(ISBLANK('LL1 Parser Table'!L22),"ERRO",'LL1 Parser Table'!L22)</f>
        <v>ERRO</v>
      </c>
      <c r="K21" t="str">
        <f>IF(ISBLANK('LL1 Parser Table'!M22),"ERRO",'LL1 Parser Table'!M22)</f>
        <v>ERRO</v>
      </c>
      <c r="L21" t="str">
        <f>IF(ISBLANK('LL1 Parser Table'!N22),"ERRO",'LL1 Parser Table'!N22)</f>
        <v>ERRO</v>
      </c>
      <c r="M21" t="str">
        <f>IF(ISBLANK('LL1 Parser Table'!O22),"ERRO",'LL1 Parser Table'!O22)</f>
        <v>ERRO</v>
      </c>
      <c r="N21" t="str">
        <f>IF(ISBLANK('LL1 Parser Table'!P22),"ERRO",'LL1 Parser Table'!P22)</f>
        <v>ERRO</v>
      </c>
      <c r="O21" t="str">
        <f>IF(ISBLANK('LL1 Parser Table'!Q22),"ERRO",'LL1 Parser Table'!Q22)</f>
        <v>ERRO</v>
      </c>
      <c r="P21" t="str">
        <f>IF(ISBLANK('LL1 Parser Table'!R22),"ERRO",'LL1 Parser Table'!R22)</f>
        <v>ERRO</v>
      </c>
      <c r="Q21" t="str">
        <f>IF(ISBLANK('LL1 Parser Table'!S22),"ERRO",'LL1 Parser Table'!S22)</f>
        <v>ERRO</v>
      </c>
      <c r="R21" t="str">
        <f>IF(ISBLANK('LL1 Parser Table'!T22),"ERRO",'LL1 Parser Table'!T22)</f>
        <v>ERRO</v>
      </c>
      <c r="S21" t="str">
        <f>IF(ISBLANK('LL1 Parser Table'!U22),"ERRO",'LL1 Parser Table'!U22)</f>
        <v>ERRO</v>
      </c>
      <c r="T21" t="str">
        <f>IF(ISBLANK('LL1 Parser Table'!V22),"ERRO",'LL1 Parser Table'!V22)</f>
        <v>ERRO</v>
      </c>
      <c r="U21" t="str">
        <f>IF(ISBLANK('LL1 Parser Table'!W22),"ERRO",'LL1 Parser Table'!W22)</f>
        <v>ERRO</v>
      </c>
      <c r="V21" t="str">
        <f>IF(ISBLANK('LL1 Parser Table'!X22),"ERRO",'LL1 Parser Table'!X22)</f>
        <v>ERRO</v>
      </c>
      <c r="W21" t="str">
        <f>IF(ISBLANK('LL1 Parser Table'!Y22),"ERRO",'LL1 Parser Table'!Y22)</f>
        <v>ERRO</v>
      </c>
      <c r="X21" t="str">
        <f>IF(ISBLANK('LL1 Parser Table'!Z22),"ERRO",'LL1 Parser Table'!Z22)</f>
        <v>ERRO</v>
      </c>
      <c r="Y21" t="str">
        <f>IF(ISBLANK('LL1 Parser Table'!AA22),"ERRO",'LL1 Parser Table'!AA22)</f>
        <v>ERRO</v>
      </c>
      <c r="Z21" t="str">
        <f>IF(ISBLANK('LL1 Parser Table'!AB22),"ERRO",'LL1 Parser Table'!AB22)</f>
        <v>ERRO</v>
      </c>
      <c r="AA21" t="str">
        <f>IF(ISBLANK('LL1 Parser Table'!AC22),"ERRO",'LL1 Parser Table'!AC22)</f>
        <v>ERRO</v>
      </c>
      <c r="AB21" t="str">
        <f>IF(ISBLANK('LL1 Parser Table'!AD22),"ERRO",'LL1 Parser Table'!AD22)</f>
        <v>ListaComandos -&gt; Comandos ; ListaComandosBonus</v>
      </c>
      <c r="AC21" t="str">
        <f>IF(ISBLANK('LL1 Parser Table'!AE22),"ERRO",'LL1 Parser Table'!AE22)</f>
        <v>ERRO</v>
      </c>
      <c r="AD21" t="str">
        <f>IF(ISBLANK('LL1 Parser Table'!AF22),"ERRO",'LL1 Parser Table'!AF22)</f>
        <v>ERRO</v>
      </c>
      <c r="AE21" t="str">
        <f>IF(ISBLANK('LL1 Parser Table'!AG22),"ERRO",'LL1 Parser Table'!AG22)</f>
        <v>ListaComandos -&gt; Comandos ; ListaComandosBonus</v>
      </c>
      <c r="AF21" t="str">
        <f>IF(ISBLANK('LL1 Parser Table'!AH22),"ERRO",'LL1 Parser Table'!AH22)</f>
        <v>ERRO</v>
      </c>
      <c r="AG21" t="str">
        <f>IF(ISBLANK('LL1 Parser Table'!AI22),"ERRO",'LL1 Parser Table'!AI22)</f>
        <v>ListaComandos -&gt; Comandos ; ListaComandosBonus</v>
      </c>
      <c r="AH21" t="str">
        <f>IF(ISBLANK('LL1 Parser Table'!AJ22),"ERRO",'LL1 Parser Table'!AJ22)</f>
        <v>ERRO</v>
      </c>
      <c r="AI21" t="str">
        <f>IF(ISBLANK('LL1 Parser Table'!AK22),"ERRO",'LL1 Parser Table'!AK22)</f>
        <v>ERRO</v>
      </c>
      <c r="AJ21" t="str">
        <f>IF(ISBLANK('LL1 Parser Table'!AL22),"ERRO",'LL1 Parser Table'!AL22)</f>
        <v>ERRO</v>
      </c>
      <c r="AK21" t="str">
        <f>IF(ISBLANK('LL1 Parser Table'!AM22),"ERRO",'LL1 Parser Table'!AM22)</f>
        <v>ListaComandos -&gt; Comandos ; ListaComandosBonus</v>
      </c>
      <c r="AL21" t="str">
        <f>IF(ISBLANK('LL1 Parser Table'!AN22),"ERRO",'LL1 Parser Table'!AN22)</f>
        <v>ListaComandos -&gt; Comandos ; ListaComandosBonus</v>
      </c>
      <c r="AM21" t="str">
        <f>IF(ISBLANK('LL1 Parser Table'!AO22),"ERRO",'LL1 Parser Table'!AO22)</f>
        <v>ListaComandos -&gt; Comandos ; ListaComandosBonus</v>
      </c>
      <c r="AN21" t="str">
        <f>IF(ISBLANK('LL1 Parser Table'!AP22),"ERRO",'LL1 Parser Table'!AP22)</f>
        <v>ERRO</v>
      </c>
      <c r="AO21" t="str">
        <f>IF(ISBLANK('LL1 Parser Table'!AQ22),"ERRO",'LL1 Parser Table'!AQ22)</f>
        <v>ERRO</v>
      </c>
      <c r="AP21" t="str">
        <f>IF(ISBLANK('LL1 Parser Table'!AR22),"ERRO",'LL1 Parser Table'!AR22)</f>
        <v>ERRO</v>
      </c>
      <c r="AQ21" t="str">
        <f>IF(ISBLANK('LL1 Parser Table'!AS22),"ERRO",'LL1 Parser Table'!AS22)</f>
        <v>ERRO</v>
      </c>
      <c r="AR21" t="str">
        <f>IF(ISBLANK('LL1 Parser Table'!AT22),"ERRO",'LL1 Parser Table'!AT22)</f>
        <v>ERRO</v>
      </c>
      <c r="AS21" t="str">
        <f>IF(ISBLANK('LL1 Parser Table'!AU22),"ERRO",'LL1 Parser Table'!AU22)</f>
        <v>ERRO</v>
      </c>
      <c r="AT21" t="str">
        <f>IF(ISBLANK('LL1 Parser Table'!AV22),"ERRO",'LL1 Parser Table'!AV22)</f>
        <v>ERRO</v>
      </c>
      <c r="AU21" t="str">
        <f>IF(ISBLANK('LL1 Parser Table'!AW22),"ERRO",'LL1 Parser Table'!AW22)</f>
        <v>ERRO</v>
      </c>
      <c r="AV21" t="str">
        <f>IF(ISBLANK('LL1 Parser Table'!AX22),"ERRO",'LL1 Parser Table'!AX22)</f>
        <v>ERRO</v>
      </c>
      <c r="AW21" t="str">
        <f>IF(ISBLANK('LL1 Parser Table'!AY22),"ERRO",'LL1 Parser Table'!AY22)</f>
        <v>ERRO</v>
      </c>
      <c r="AX21" t="str">
        <f>IF(ISBLANK('LL1 Parser Table'!AZ22),"ERRO",'LL1 Parser Table'!AZ22)</f>
        <v>ERRO</v>
      </c>
      <c r="AY21" t="str">
        <f>IF(ISBLANK('LL1 Parser Table'!BA22),"ERRO",'LL1 Parser Table'!BA22)</f>
        <v>ERRO</v>
      </c>
      <c r="AZ21" t="str">
        <f>IF(ISBLANK('LL1 Parser Table'!BB22),"ERRO",'LL1 Parser Table'!BB22)</f>
        <v>ERRO</v>
      </c>
      <c r="BA21" t="str">
        <f>IF(ISBLANK('LL1 Parser Table'!BC22),"ERRO",'LL1 Parser Table'!BC22)</f>
        <v>ERRO</v>
      </c>
      <c r="BB21" t="str">
        <f>IF(ISBLANK('LL1 Parser Table'!BD22),"ERRO",'LL1 Parser Table'!BD22)</f>
        <v>ERRO</v>
      </c>
      <c r="BC21" t="str">
        <f>IF(ISBLANK('LL1 Parser Table'!BE22),"ERRO",'LL1 Parser Table'!BE22)</f>
        <v>ERRO</v>
      </c>
      <c r="BD21" t="str">
        <f>IF(ISBLANK('LL1 Parser Table'!BF22),"ERRO",'LL1 Parser Table'!BF22)</f>
        <v>ERRO</v>
      </c>
      <c r="BE21" t="str">
        <f>IF(ISBLANK('LL1 Parser Table'!BG22),"ERRO",'LL1 Parser Table'!BG22)</f>
        <v>ERRO</v>
      </c>
    </row>
    <row r="22" spans="1:57" x14ac:dyDescent="0.35">
      <c r="A22">
        <v>21</v>
      </c>
      <c r="B22" s="8" t="str">
        <f>'LL1 Parser Table'!D23</f>
        <v>ListaComandosBonus</v>
      </c>
      <c r="C22" t="str">
        <f>IF(ISBLANK('LL1 Parser Table'!E23),"ERRO",'LL1 Parser Table'!E23)</f>
        <v>ERRO</v>
      </c>
      <c r="D22" t="str">
        <f>IF(ISBLANK('LL1 Parser Table'!F23),"ERRO",'LL1 Parser Table'!F23)</f>
        <v>ListaComandosBonus -&gt; ListaComandos</v>
      </c>
      <c r="E22" t="str">
        <f>IF(ISBLANK('LL1 Parser Table'!G23),"ERRO",'LL1 Parser Table'!G23)</f>
        <v>ListaComandosBonus -&gt; ''</v>
      </c>
      <c r="F22" t="str">
        <f>IF(ISBLANK('LL1 Parser Table'!H23),"ERRO",'LL1 Parser Table'!H23)</f>
        <v>ERRO</v>
      </c>
      <c r="G22" t="str">
        <f>IF(ISBLANK('LL1 Parser Table'!I23),"ERRO",'LL1 Parser Table'!I23)</f>
        <v>ERRO</v>
      </c>
      <c r="H22" t="str">
        <f>IF(ISBLANK('LL1 Parser Table'!J23),"ERRO",'LL1 Parser Table'!J23)</f>
        <v>ERRO</v>
      </c>
      <c r="I22" t="str">
        <f>IF(ISBLANK('LL1 Parser Table'!K23),"ERRO",'LL1 Parser Table'!K23)</f>
        <v>ERRO</v>
      </c>
      <c r="J22" t="str">
        <f>IF(ISBLANK('LL1 Parser Table'!L23),"ERRO",'LL1 Parser Table'!L23)</f>
        <v>ERRO</v>
      </c>
      <c r="K22" t="str">
        <f>IF(ISBLANK('LL1 Parser Table'!M23),"ERRO",'LL1 Parser Table'!M23)</f>
        <v>ERRO</v>
      </c>
      <c r="L22" t="str">
        <f>IF(ISBLANK('LL1 Parser Table'!N23),"ERRO",'LL1 Parser Table'!N23)</f>
        <v>ERRO</v>
      </c>
      <c r="M22" t="str">
        <f>IF(ISBLANK('LL1 Parser Table'!O23),"ERRO",'LL1 Parser Table'!O23)</f>
        <v>ERRO</v>
      </c>
      <c r="N22" t="str">
        <f>IF(ISBLANK('LL1 Parser Table'!P23),"ERRO",'LL1 Parser Table'!P23)</f>
        <v>ERRO</v>
      </c>
      <c r="O22" t="str">
        <f>IF(ISBLANK('LL1 Parser Table'!Q23),"ERRO",'LL1 Parser Table'!Q23)</f>
        <v>ERRO</v>
      </c>
      <c r="P22" t="str">
        <f>IF(ISBLANK('LL1 Parser Table'!R23),"ERRO",'LL1 Parser Table'!R23)</f>
        <v>ERRO</v>
      </c>
      <c r="Q22" t="str">
        <f>IF(ISBLANK('LL1 Parser Table'!S23),"ERRO",'LL1 Parser Table'!S23)</f>
        <v>ERRO</v>
      </c>
      <c r="R22" t="str">
        <f>IF(ISBLANK('LL1 Parser Table'!T23),"ERRO",'LL1 Parser Table'!T23)</f>
        <v>ERRO</v>
      </c>
      <c r="S22" t="str">
        <f>IF(ISBLANK('LL1 Parser Table'!U23),"ERRO",'LL1 Parser Table'!U23)</f>
        <v>ERRO</v>
      </c>
      <c r="T22" t="str">
        <f>IF(ISBLANK('LL1 Parser Table'!V23),"ERRO",'LL1 Parser Table'!V23)</f>
        <v>ERRO</v>
      </c>
      <c r="U22" t="str">
        <f>IF(ISBLANK('LL1 Parser Table'!W23),"ERRO",'LL1 Parser Table'!W23)</f>
        <v>ERRO</v>
      </c>
      <c r="V22" t="str">
        <f>IF(ISBLANK('LL1 Parser Table'!X23),"ERRO",'LL1 Parser Table'!X23)</f>
        <v>ERRO</v>
      </c>
      <c r="W22" t="str">
        <f>IF(ISBLANK('LL1 Parser Table'!Y23),"ERRO",'LL1 Parser Table'!Y23)</f>
        <v>ERRO</v>
      </c>
      <c r="X22" t="str">
        <f>IF(ISBLANK('LL1 Parser Table'!Z23),"ERRO",'LL1 Parser Table'!Z23)</f>
        <v>ERRO</v>
      </c>
      <c r="Y22" t="str">
        <f>IF(ISBLANK('LL1 Parser Table'!AA23),"ERRO",'LL1 Parser Table'!AA23)</f>
        <v>ERRO</v>
      </c>
      <c r="Z22" t="str">
        <f>IF(ISBLANK('LL1 Parser Table'!AB23),"ERRO",'LL1 Parser Table'!AB23)</f>
        <v>ListaComandosBonus -&gt; ''</v>
      </c>
      <c r="AA22" t="str">
        <f>IF(ISBLANK('LL1 Parser Table'!AC23),"ERRO",'LL1 Parser Table'!AC23)</f>
        <v>ERRO</v>
      </c>
      <c r="AB22" t="str">
        <f>IF(ISBLANK('LL1 Parser Table'!AD23),"ERRO",'LL1 Parser Table'!AD23)</f>
        <v>ListaComandosBonus -&gt; ListaComandos</v>
      </c>
      <c r="AC22" t="str">
        <f>IF(ISBLANK('LL1 Parser Table'!AE23),"ERRO",'LL1 Parser Table'!AE23)</f>
        <v>ERRO</v>
      </c>
      <c r="AD22" t="str">
        <f>IF(ISBLANK('LL1 Parser Table'!AF23),"ERRO",'LL1 Parser Table'!AF23)</f>
        <v>ListaComandosBonus -&gt; ''</v>
      </c>
      <c r="AE22" t="str">
        <f>IF(ISBLANK('LL1 Parser Table'!AG23),"ERRO",'LL1 Parser Table'!AG23)</f>
        <v>ListaComandosBonus -&gt; ListaComandos</v>
      </c>
      <c r="AF22" t="str">
        <f>IF(ISBLANK('LL1 Parser Table'!AH23),"ERRO",'LL1 Parser Table'!AH23)</f>
        <v>ERRO</v>
      </c>
      <c r="AG22" t="str">
        <f>IF(ISBLANK('LL1 Parser Table'!AI23),"ERRO",'LL1 Parser Table'!AI23)</f>
        <v>ListaComandosBonus -&gt; ListaComandos</v>
      </c>
      <c r="AH22" t="str">
        <f>IF(ISBLANK('LL1 Parser Table'!AJ23),"ERRO",'LL1 Parser Table'!AJ23)</f>
        <v>ERRO</v>
      </c>
      <c r="AI22" t="str">
        <f>IF(ISBLANK('LL1 Parser Table'!AK23),"ERRO",'LL1 Parser Table'!AK23)</f>
        <v>ListaComandosBonus -&gt; ''</v>
      </c>
      <c r="AJ22" t="str">
        <f>IF(ISBLANK('LL1 Parser Table'!AL23),"ERRO",'LL1 Parser Table'!AL23)</f>
        <v>ERRO</v>
      </c>
      <c r="AK22" t="str">
        <f>IF(ISBLANK('LL1 Parser Table'!AM23),"ERRO",'LL1 Parser Table'!AM23)</f>
        <v>ListaComandosBonus -&gt; ListaComandos</v>
      </c>
      <c r="AL22" t="str">
        <f>IF(ISBLANK('LL1 Parser Table'!AN23),"ERRO",'LL1 Parser Table'!AN23)</f>
        <v>ListaComandosBonus -&gt; ListaComandos</v>
      </c>
      <c r="AM22" t="str">
        <f>IF(ISBLANK('LL1 Parser Table'!AO23),"ERRO",'LL1 Parser Table'!AO23)</f>
        <v>ListaComandosBonus -&gt; ListaComandos</v>
      </c>
      <c r="AN22" t="str">
        <f>IF(ISBLANK('LL1 Parser Table'!AP23),"ERRO",'LL1 Parser Table'!AP23)</f>
        <v>ERRO</v>
      </c>
      <c r="AO22" t="str">
        <f>IF(ISBLANK('LL1 Parser Table'!AQ23),"ERRO",'LL1 Parser Table'!AQ23)</f>
        <v>ERRO</v>
      </c>
      <c r="AP22" t="str">
        <f>IF(ISBLANK('LL1 Parser Table'!AR23),"ERRO",'LL1 Parser Table'!AR23)</f>
        <v>ERRO</v>
      </c>
      <c r="AQ22" t="str">
        <f>IF(ISBLANK('LL1 Parser Table'!AS23),"ERRO",'LL1 Parser Table'!AS23)</f>
        <v>ERRO</v>
      </c>
      <c r="AR22" t="str">
        <f>IF(ISBLANK('LL1 Parser Table'!AT23),"ERRO",'LL1 Parser Table'!AT23)</f>
        <v>ERRO</v>
      </c>
      <c r="AS22" t="str">
        <f>IF(ISBLANK('LL1 Parser Table'!AU23),"ERRO",'LL1 Parser Table'!AU23)</f>
        <v>ERRO</v>
      </c>
      <c r="AT22" t="str">
        <f>IF(ISBLANK('LL1 Parser Table'!AV23),"ERRO",'LL1 Parser Table'!AV23)</f>
        <v>ERRO</v>
      </c>
      <c r="AU22" t="str">
        <f>IF(ISBLANK('LL1 Parser Table'!AW23),"ERRO",'LL1 Parser Table'!AW23)</f>
        <v>ERRO</v>
      </c>
      <c r="AV22" t="str">
        <f>IF(ISBLANK('LL1 Parser Table'!AX23),"ERRO",'LL1 Parser Table'!AX23)</f>
        <v>ERRO</v>
      </c>
      <c r="AW22" t="str">
        <f>IF(ISBLANK('LL1 Parser Table'!AY23),"ERRO",'LL1 Parser Table'!AY23)</f>
        <v>ERRO</v>
      </c>
      <c r="AX22" t="str">
        <f>IF(ISBLANK('LL1 Parser Table'!AZ23),"ERRO",'LL1 Parser Table'!AZ23)</f>
        <v>ERRO</v>
      </c>
      <c r="AY22" t="str">
        <f>IF(ISBLANK('LL1 Parser Table'!BA23),"ERRO",'LL1 Parser Table'!BA23)</f>
        <v>ERRO</v>
      </c>
      <c r="AZ22" t="str">
        <f>IF(ISBLANK('LL1 Parser Table'!BB23),"ERRO",'LL1 Parser Table'!BB23)</f>
        <v>ERRO</v>
      </c>
      <c r="BA22" t="str">
        <f>IF(ISBLANK('LL1 Parser Table'!BC23),"ERRO",'LL1 Parser Table'!BC23)</f>
        <v>ERRO</v>
      </c>
      <c r="BB22" t="str">
        <f>IF(ISBLANK('LL1 Parser Table'!BD23),"ERRO",'LL1 Parser Table'!BD23)</f>
        <v>ERRO</v>
      </c>
      <c r="BC22" t="str">
        <f>IF(ISBLANK('LL1 Parser Table'!BE23),"ERRO",'LL1 Parser Table'!BE23)</f>
        <v>ERRO</v>
      </c>
      <c r="BD22" t="str">
        <f>IF(ISBLANK('LL1 Parser Table'!BF23),"ERRO",'LL1 Parser Table'!BF23)</f>
        <v>ERRO</v>
      </c>
      <c r="BE22" t="str">
        <f>IF(ISBLANK('LL1 Parser Table'!BG23),"ERRO",'LL1 Parser Table'!BG23)</f>
        <v>ERRO</v>
      </c>
    </row>
    <row r="23" spans="1:57" x14ac:dyDescent="0.35">
      <c r="A23">
        <v>22</v>
      </c>
      <c r="B23" s="8" t="str">
        <f>'LL1 Parser Table'!D24</f>
        <v>Comandos</v>
      </c>
      <c r="C23" t="str">
        <f>IF(ISBLANK('LL1 Parser Table'!E24),"ERRO",'LL1 Parser Table'!E24)</f>
        <v>ERRO</v>
      </c>
      <c r="D23" t="str">
        <f>IF(ISBLANK('LL1 Parser Table'!F24),"ERRO",'LL1 Parser Table'!F24)</f>
        <v>Comandos -&gt; identificador CommandsIdentifier</v>
      </c>
      <c r="E23" t="str">
        <f>IF(ISBLANK('LL1 Parser Table'!G24),"ERRO",'LL1 Parser Table'!G24)</f>
        <v>ERRO</v>
      </c>
      <c r="F23" t="str">
        <f>IF(ISBLANK('LL1 Parser Table'!H24),"ERRO",'LL1 Parser Table'!H24)</f>
        <v>ERRO</v>
      </c>
      <c r="G23" t="str">
        <f>IF(ISBLANK('LL1 Parser Table'!I24),"ERRO",'LL1 Parser Table'!I24)</f>
        <v>ERRO</v>
      </c>
      <c r="H23" t="str">
        <f>IF(ISBLANK('LL1 Parser Table'!J24),"ERRO",'LL1 Parser Table'!J24)</f>
        <v>ERRO</v>
      </c>
      <c r="I23" t="str">
        <f>IF(ISBLANK('LL1 Parser Table'!K24),"ERRO",'LL1 Parser Table'!K24)</f>
        <v>ERRO</v>
      </c>
      <c r="J23" t="str">
        <f>IF(ISBLANK('LL1 Parser Table'!L24),"ERRO",'LL1 Parser Table'!L24)</f>
        <v>ERRO</v>
      </c>
      <c r="K23" t="str">
        <f>IF(ISBLANK('LL1 Parser Table'!M24),"ERRO",'LL1 Parser Table'!M24)</f>
        <v>ERRO</v>
      </c>
      <c r="L23" t="str">
        <f>IF(ISBLANK('LL1 Parser Table'!N24),"ERRO",'LL1 Parser Table'!N24)</f>
        <v>ERRO</v>
      </c>
      <c r="M23" t="str">
        <f>IF(ISBLANK('LL1 Parser Table'!O24),"ERRO",'LL1 Parser Table'!O24)</f>
        <v>ERRO</v>
      </c>
      <c r="N23" t="str">
        <f>IF(ISBLANK('LL1 Parser Table'!P24),"ERRO",'LL1 Parser Table'!P24)</f>
        <v>ERRO</v>
      </c>
      <c r="O23" t="str">
        <f>IF(ISBLANK('LL1 Parser Table'!Q24),"ERRO",'LL1 Parser Table'!Q24)</f>
        <v>ERRO</v>
      </c>
      <c r="P23" t="str">
        <f>IF(ISBLANK('LL1 Parser Table'!R24),"ERRO",'LL1 Parser Table'!R24)</f>
        <v>ERRO</v>
      </c>
      <c r="Q23" t="str">
        <f>IF(ISBLANK('LL1 Parser Table'!S24),"ERRO",'LL1 Parser Table'!S24)</f>
        <v>ERRO</v>
      </c>
      <c r="R23" t="str">
        <f>IF(ISBLANK('LL1 Parser Table'!T24),"ERRO",'LL1 Parser Table'!T24)</f>
        <v>ERRO</v>
      </c>
      <c r="S23" t="str">
        <f>IF(ISBLANK('LL1 Parser Table'!U24),"ERRO",'LL1 Parser Table'!U24)</f>
        <v>ERRO</v>
      </c>
      <c r="T23" t="str">
        <f>IF(ISBLANK('LL1 Parser Table'!V24),"ERRO",'LL1 Parser Table'!V24)</f>
        <v>ERRO</v>
      </c>
      <c r="U23" t="str">
        <f>IF(ISBLANK('LL1 Parser Table'!W24),"ERRO",'LL1 Parser Table'!W24)</f>
        <v>ERRO</v>
      </c>
      <c r="V23" t="str">
        <f>IF(ISBLANK('LL1 Parser Table'!X24),"ERRO",'LL1 Parser Table'!X24)</f>
        <v>ERRO</v>
      </c>
      <c r="W23" t="str">
        <f>IF(ISBLANK('LL1 Parser Table'!Y24),"ERRO",'LL1 Parser Table'!Y24)</f>
        <v>ERRO</v>
      </c>
      <c r="X23" t="str">
        <f>IF(ISBLANK('LL1 Parser Table'!Z24),"ERRO",'LL1 Parser Table'!Z24)</f>
        <v>ERRO</v>
      </c>
      <c r="Y23" t="str">
        <f>IF(ISBLANK('LL1 Parser Table'!AA24),"ERRO",'LL1 Parser Table'!AA24)</f>
        <v>ERRO</v>
      </c>
      <c r="Z23" t="str">
        <f>IF(ISBLANK('LL1 Parser Table'!AB24),"ERRO",'LL1 Parser Table'!AB24)</f>
        <v>ERRO</v>
      </c>
      <c r="AA23" t="str">
        <f>IF(ISBLANK('LL1 Parser Table'!AC24),"ERRO",'LL1 Parser Table'!AC24)</f>
        <v>ERRO</v>
      </c>
      <c r="AB23" t="str">
        <f>IF(ISBLANK('LL1 Parser Table'!AD24),"ERRO",'LL1 Parser Table'!AD24)</f>
        <v>Comandos -&gt; se Expressao entao ListaComandos ElseIf fim se</v>
      </c>
      <c r="AC23" t="str">
        <f>IF(ISBLANK('LL1 Parser Table'!AE24),"ERRO",'LL1 Parser Table'!AE24)</f>
        <v>ERRO</v>
      </c>
      <c r="AD23" t="str">
        <f>IF(ISBLANK('LL1 Parser Table'!AF24),"ERRO",'LL1 Parser Table'!AF24)</f>
        <v>ERRO</v>
      </c>
      <c r="AE23" t="str">
        <f>IF(ISBLANK('LL1 Parser Table'!AG24),"ERRO",'LL1 Parser Table'!AG24)</f>
        <v>Comandos -&gt; enquanto Expressao faca ListaComandos fim enquanto</v>
      </c>
      <c r="AF23" t="str">
        <f>IF(ISBLANK('LL1 Parser Table'!AH24),"ERRO",'LL1 Parser Table'!AH24)</f>
        <v>ERRO</v>
      </c>
      <c r="AG23" t="str">
        <f>IF(ISBLANK('LL1 Parser Table'!AI24),"ERRO",'LL1 Parser Table'!AI24)</f>
        <v>Comandos -&gt; para identificador de Expressao ate Expressao StepFor faca ListaComandos fim para</v>
      </c>
      <c r="AH23" t="str">
        <f>IF(ISBLANK('LL1 Parser Table'!AJ24),"ERRO",'LL1 Parser Table'!AJ24)</f>
        <v>ERRO</v>
      </c>
      <c r="AI23" t="str">
        <f>IF(ISBLANK('LL1 Parser Table'!AK24),"ERRO",'LL1 Parser Table'!AK24)</f>
        <v>ERRO</v>
      </c>
      <c r="AJ23" t="str">
        <f>IF(ISBLANK('LL1 Parser Table'!AL24),"ERRO",'LL1 Parser Table'!AL24)</f>
        <v>ERRO</v>
      </c>
      <c r="AK23" t="str">
        <f>IF(ISBLANK('LL1 Parser Table'!AM24),"ERRO",'LL1 Parser Table'!AM24)</f>
        <v>Comandos -&gt; repita ListaComandos ate Expressao</v>
      </c>
      <c r="AL23" t="str">
        <f>IF(ISBLANK('LL1 Parser Table'!AN24),"ERRO",'LL1 Parser Table'!AN24)</f>
        <v>Comandos -&gt; leia ( Variavel )</v>
      </c>
      <c r="AM23" t="str">
        <f>IF(ISBLANK('LL1 Parser Table'!AO24),"ERRO",'LL1 Parser Table'!AO24)</f>
        <v>Comandos -&gt; imprima ( ExprIter )</v>
      </c>
      <c r="AN23" t="str">
        <f>IF(ISBLANK('LL1 Parser Table'!AP24),"ERRO",'LL1 Parser Table'!AP24)</f>
        <v>ERRO</v>
      </c>
      <c r="AO23" t="str">
        <f>IF(ISBLANK('LL1 Parser Table'!AQ24),"ERRO",'LL1 Parser Table'!AQ24)</f>
        <v>ERRO</v>
      </c>
      <c r="AP23" t="str">
        <f>IF(ISBLANK('LL1 Parser Table'!AR24),"ERRO",'LL1 Parser Table'!AR24)</f>
        <v>ERRO</v>
      </c>
      <c r="AQ23" t="str">
        <f>IF(ISBLANK('LL1 Parser Table'!AS24),"ERRO",'LL1 Parser Table'!AS24)</f>
        <v>ERRO</v>
      </c>
      <c r="AR23" t="str">
        <f>IF(ISBLANK('LL1 Parser Table'!AT24),"ERRO",'LL1 Parser Table'!AT24)</f>
        <v>ERRO</v>
      </c>
      <c r="AS23" t="str">
        <f>IF(ISBLANK('LL1 Parser Table'!AU24),"ERRO",'LL1 Parser Table'!AU24)</f>
        <v>ERRO</v>
      </c>
      <c r="AT23" t="str">
        <f>IF(ISBLANK('LL1 Parser Table'!AV24),"ERRO",'LL1 Parser Table'!AV24)</f>
        <v>ERRO</v>
      </c>
      <c r="AU23" t="str">
        <f>IF(ISBLANK('LL1 Parser Table'!AW24),"ERRO",'LL1 Parser Table'!AW24)</f>
        <v>ERRO</v>
      </c>
      <c r="AV23" t="str">
        <f>IF(ISBLANK('LL1 Parser Table'!AX24),"ERRO",'LL1 Parser Table'!AX24)</f>
        <v>ERRO</v>
      </c>
      <c r="AW23" t="str">
        <f>IF(ISBLANK('LL1 Parser Table'!AY24),"ERRO",'LL1 Parser Table'!AY24)</f>
        <v>ERRO</v>
      </c>
      <c r="AX23" t="str">
        <f>IF(ISBLANK('LL1 Parser Table'!AZ24),"ERRO",'LL1 Parser Table'!AZ24)</f>
        <v>ERRO</v>
      </c>
      <c r="AY23" t="str">
        <f>IF(ISBLANK('LL1 Parser Table'!BA24),"ERRO",'LL1 Parser Table'!BA24)</f>
        <v>ERRO</v>
      </c>
      <c r="AZ23" t="str">
        <f>IF(ISBLANK('LL1 Parser Table'!BB24),"ERRO",'LL1 Parser Table'!BB24)</f>
        <v>ERRO</v>
      </c>
      <c r="BA23" t="str">
        <f>IF(ISBLANK('LL1 Parser Table'!BC24),"ERRO",'LL1 Parser Table'!BC24)</f>
        <v>ERRO</v>
      </c>
      <c r="BB23" t="str">
        <f>IF(ISBLANK('LL1 Parser Table'!BD24),"ERRO",'LL1 Parser Table'!BD24)</f>
        <v>ERRO</v>
      </c>
      <c r="BC23" t="str">
        <f>IF(ISBLANK('LL1 Parser Table'!BE24),"ERRO",'LL1 Parser Table'!BE24)</f>
        <v>ERRO</v>
      </c>
      <c r="BD23" t="str">
        <f>IF(ISBLANK('LL1 Parser Table'!BF24),"ERRO",'LL1 Parser Table'!BF24)</f>
        <v>ERRO</v>
      </c>
      <c r="BE23" t="str">
        <f>IF(ISBLANK('LL1 Parser Table'!BG24),"ERRO",'LL1 Parser Table'!BG24)</f>
        <v>ERRO</v>
      </c>
    </row>
    <row r="24" spans="1:57" x14ac:dyDescent="0.35">
      <c r="A24">
        <v>23</v>
      </c>
      <c r="B24" s="8" t="str">
        <f>'LL1 Parser Table'!D25</f>
        <v>CommandsIdentifier</v>
      </c>
      <c r="C24" t="str">
        <f>IF(ISBLANK('LL1 Parser Table'!E25),"ERRO",'LL1 Parser Table'!E25)</f>
        <v>ERRO</v>
      </c>
      <c r="D24" t="str">
        <f>IF(ISBLANK('LL1 Parser Table'!F25),"ERRO",'LL1 Parser Table'!F25)</f>
        <v>ERRO</v>
      </c>
      <c r="E24" t="str">
        <f>IF(ISBLANK('LL1 Parser Table'!G25),"ERRO",'LL1 Parser Table'!G25)</f>
        <v>CommandsIdentifier -&gt; ''</v>
      </c>
      <c r="F24" t="str">
        <f>IF(ISBLANK('LL1 Parser Table'!H25),"ERRO",'LL1 Parser Table'!H25)</f>
        <v>ERRO</v>
      </c>
      <c r="G24" t="str">
        <f>IF(ISBLANK('LL1 Parser Table'!I25),"ERRO",'LL1 Parser Table'!I25)</f>
        <v>ERRO</v>
      </c>
      <c r="H24" t="str">
        <f>IF(ISBLANK('LL1 Parser Table'!J25),"ERRO",'LL1 Parser Table'!J25)</f>
        <v>ERRO</v>
      </c>
      <c r="I24" t="str">
        <f>IF(ISBLANK('LL1 Parser Table'!K25),"ERRO",'LL1 Parser Table'!K25)</f>
        <v>ERRO</v>
      </c>
      <c r="J24" t="str">
        <f>IF(ISBLANK('LL1 Parser Table'!L25),"ERRO",'LL1 Parser Table'!L25)</f>
        <v>CommandsIdentifier -&gt; ( ExprIter )</v>
      </c>
      <c r="K24" t="str">
        <f>IF(ISBLANK('LL1 Parser Table'!M25),"ERRO",'LL1 Parser Table'!M25)</f>
        <v>ERRO</v>
      </c>
      <c r="L24" t="str">
        <f>IF(ISBLANK('LL1 Parser Table'!N25),"ERRO",'LL1 Parser Table'!N25)</f>
        <v>ERRO</v>
      </c>
      <c r="M24" t="str">
        <f>IF(ISBLANK('LL1 Parser Table'!O25),"ERRO",'LL1 Parser Table'!O25)</f>
        <v>ERRO</v>
      </c>
      <c r="N24" t="str">
        <f>IF(ISBLANK('LL1 Parser Table'!P25),"ERRO",'LL1 Parser Table'!P25)</f>
        <v>ERRO</v>
      </c>
      <c r="O24" t="str">
        <f>IF(ISBLANK('LL1 Parser Table'!Q25),"ERRO",'LL1 Parser Table'!Q25)</f>
        <v>CommandsIdentifier -&gt; [ ExprIter ] &lt;- Expressao</v>
      </c>
      <c r="P24" t="str">
        <f>IF(ISBLANK('LL1 Parser Table'!R25),"ERRO",'LL1 Parser Table'!R25)</f>
        <v>ERRO</v>
      </c>
      <c r="Q24" t="str">
        <f>IF(ISBLANK('LL1 Parser Table'!S25),"ERRO",'LL1 Parser Table'!S25)</f>
        <v>ERRO</v>
      </c>
      <c r="R24" t="str">
        <f>IF(ISBLANK('LL1 Parser Table'!T25),"ERRO",'LL1 Parser Table'!T25)</f>
        <v>ERRO</v>
      </c>
      <c r="S24" t="str">
        <f>IF(ISBLANK('LL1 Parser Table'!U25),"ERRO",'LL1 Parser Table'!U25)</f>
        <v>ERRO</v>
      </c>
      <c r="T24" t="str">
        <f>IF(ISBLANK('LL1 Parser Table'!V25),"ERRO",'LL1 Parser Table'!V25)</f>
        <v>ERRO</v>
      </c>
      <c r="U24" t="str">
        <f>IF(ISBLANK('LL1 Parser Table'!W25),"ERRO",'LL1 Parser Table'!W25)</f>
        <v>ERRO</v>
      </c>
      <c r="V24" t="str">
        <f>IF(ISBLANK('LL1 Parser Table'!X25),"ERRO",'LL1 Parser Table'!X25)</f>
        <v>ERRO</v>
      </c>
      <c r="W24" t="str">
        <f>IF(ISBLANK('LL1 Parser Table'!Y25),"ERRO",'LL1 Parser Table'!Y25)</f>
        <v>ERRO</v>
      </c>
      <c r="X24" t="str">
        <f>IF(ISBLANK('LL1 Parser Table'!Z25),"ERRO",'LL1 Parser Table'!Z25)</f>
        <v>ERRO</v>
      </c>
      <c r="Y24" t="str">
        <f>IF(ISBLANK('LL1 Parser Table'!AA25),"ERRO",'LL1 Parser Table'!AA25)</f>
        <v>ERRO</v>
      </c>
      <c r="Z24" t="str">
        <f>IF(ISBLANK('LL1 Parser Table'!AB25),"ERRO",'LL1 Parser Table'!AB25)</f>
        <v>ERRO</v>
      </c>
      <c r="AA24" t="str">
        <f>IF(ISBLANK('LL1 Parser Table'!AC25),"ERRO",'LL1 Parser Table'!AC25)</f>
        <v>CommandsIdentifier -&gt; &lt;- Expressao</v>
      </c>
      <c r="AB24" t="str">
        <f>IF(ISBLANK('LL1 Parser Table'!AD25),"ERRO",'LL1 Parser Table'!AD25)</f>
        <v>ERRO</v>
      </c>
      <c r="AC24" t="str">
        <f>IF(ISBLANK('LL1 Parser Table'!AE25),"ERRO",'LL1 Parser Table'!AE25)</f>
        <v>ERRO</v>
      </c>
      <c r="AD24" t="str">
        <f>IF(ISBLANK('LL1 Parser Table'!AF25),"ERRO",'LL1 Parser Table'!AF25)</f>
        <v>ERRO</v>
      </c>
      <c r="AE24" t="str">
        <f>IF(ISBLANK('LL1 Parser Table'!AG25),"ERRO",'LL1 Parser Table'!AG25)</f>
        <v>ERRO</v>
      </c>
      <c r="AF24" t="str">
        <f>IF(ISBLANK('LL1 Parser Table'!AH25),"ERRO",'LL1 Parser Table'!AH25)</f>
        <v>ERRO</v>
      </c>
      <c r="AG24" t="str">
        <f>IF(ISBLANK('LL1 Parser Table'!AI25),"ERRO",'LL1 Parser Table'!AI25)</f>
        <v>ERRO</v>
      </c>
      <c r="AH24" t="str">
        <f>IF(ISBLANK('LL1 Parser Table'!AJ25),"ERRO",'LL1 Parser Table'!AJ25)</f>
        <v>ERRO</v>
      </c>
      <c r="AI24" t="str">
        <f>IF(ISBLANK('LL1 Parser Table'!AK25),"ERRO",'LL1 Parser Table'!AK25)</f>
        <v>ERRO</v>
      </c>
      <c r="AJ24" t="str">
        <f>IF(ISBLANK('LL1 Parser Table'!AL25),"ERRO",'LL1 Parser Table'!AL25)</f>
        <v>ERRO</v>
      </c>
      <c r="AK24" t="str">
        <f>IF(ISBLANK('LL1 Parser Table'!AM25),"ERRO",'LL1 Parser Table'!AM25)</f>
        <v>ERRO</v>
      </c>
      <c r="AL24" t="str">
        <f>IF(ISBLANK('LL1 Parser Table'!AN25),"ERRO",'LL1 Parser Table'!AN25)</f>
        <v>ERRO</v>
      </c>
      <c r="AM24" t="str">
        <f>IF(ISBLANK('LL1 Parser Table'!AO25),"ERRO",'LL1 Parser Table'!AO25)</f>
        <v>ERRO</v>
      </c>
      <c r="AN24" t="str">
        <f>IF(ISBLANK('LL1 Parser Table'!AP25),"ERRO",'LL1 Parser Table'!AP25)</f>
        <v>ERRO</v>
      </c>
      <c r="AO24" t="str">
        <f>IF(ISBLANK('LL1 Parser Table'!AQ25),"ERRO",'LL1 Parser Table'!AQ25)</f>
        <v>ERRO</v>
      </c>
      <c r="AP24" t="str">
        <f>IF(ISBLANK('LL1 Parser Table'!AR25),"ERRO",'LL1 Parser Table'!AR25)</f>
        <v>ERRO</v>
      </c>
      <c r="AQ24" t="str">
        <f>IF(ISBLANK('LL1 Parser Table'!AS25),"ERRO",'LL1 Parser Table'!AS25)</f>
        <v>ERRO</v>
      </c>
      <c r="AR24" t="str">
        <f>IF(ISBLANK('LL1 Parser Table'!AT25),"ERRO",'LL1 Parser Table'!AT25)</f>
        <v>ERRO</v>
      </c>
      <c r="AS24" t="str">
        <f>IF(ISBLANK('LL1 Parser Table'!AU25),"ERRO",'LL1 Parser Table'!AU25)</f>
        <v>ERRO</v>
      </c>
      <c r="AT24" t="str">
        <f>IF(ISBLANK('LL1 Parser Table'!AV25),"ERRO",'LL1 Parser Table'!AV25)</f>
        <v>ERRO</v>
      </c>
      <c r="AU24" t="str">
        <f>IF(ISBLANK('LL1 Parser Table'!AW25),"ERRO",'LL1 Parser Table'!AW25)</f>
        <v>ERRO</v>
      </c>
      <c r="AV24" t="str">
        <f>IF(ISBLANK('LL1 Parser Table'!AX25),"ERRO",'LL1 Parser Table'!AX25)</f>
        <v>ERRO</v>
      </c>
      <c r="AW24" t="str">
        <f>IF(ISBLANK('LL1 Parser Table'!AY25),"ERRO",'LL1 Parser Table'!AY25)</f>
        <v>ERRO</v>
      </c>
      <c r="AX24" t="str">
        <f>IF(ISBLANK('LL1 Parser Table'!AZ25),"ERRO",'LL1 Parser Table'!AZ25)</f>
        <v>ERRO</v>
      </c>
      <c r="AY24" t="str">
        <f>IF(ISBLANK('LL1 Parser Table'!BA25),"ERRO",'LL1 Parser Table'!BA25)</f>
        <v>ERRO</v>
      </c>
      <c r="AZ24" t="str">
        <f>IF(ISBLANK('LL1 Parser Table'!BB25),"ERRO",'LL1 Parser Table'!BB25)</f>
        <v>ERRO</v>
      </c>
      <c r="BA24" t="str">
        <f>IF(ISBLANK('LL1 Parser Table'!BC25),"ERRO",'LL1 Parser Table'!BC25)</f>
        <v>ERRO</v>
      </c>
      <c r="BB24" t="str">
        <f>IF(ISBLANK('LL1 Parser Table'!BD25),"ERRO",'LL1 Parser Table'!BD25)</f>
        <v>ERRO</v>
      </c>
      <c r="BC24" t="str">
        <f>IF(ISBLANK('LL1 Parser Table'!BE25),"ERRO",'LL1 Parser Table'!BE25)</f>
        <v>ERRO</v>
      </c>
      <c r="BD24" t="str">
        <f>IF(ISBLANK('LL1 Parser Table'!BF25),"ERRO",'LL1 Parser Table'!BF25)</f>
        <v>ERRO</v>
      </c>
      <c r="BE24" t="str">
        <f>IF(ISBLANK('LL1 Parser Table'!BG25),"ERRO",'LL1 Parser Table'!BG25)</f>
        <v>ERRO</v>
      </c>
    </row>
    <row r="25" spans="1:57" x14ac:dyDescent="0.35">
      <c r="A25">
        <v>24</v>
      </c>
      <c r="B25" s="8" t="str">
        <f>'LL1 Parser Table'!D26</f>
        <v>ElseIf</v>
      </c>
      <c r="C25" t="str">
        <f>IF(ISBLANK('LL1 Parser Table'!E26),"ERRO",'LL1 Parser Table'!E26)</f>
        <v>ERRO</v>
      </c>
      <c r="D25" t="str">
        <f>IF(ISBLANK('LL1 Parser Table'!F26),"ERRO",'LL1 Parser Table'!F26)</f>
        <v>ERRO</v>
      </c>
      <c r="E25" t="str">
        <f>IF(ISBLANK('LL1 Parser Table'!G26),"ERRO",'LL1 Parser Table'!G26)</f>
        <v>ERRO</v>
      </c>
      <c r="F25" t="str">
        <f>IF(ISBLANK('LL1 Parser Table'!H26),"ERRO",'LL1 Parser Table'!H26)</f>
        <v>ERRO</v>
      </c>
      <c r="G25" t="str">
        <f>IF(ISBLANK('LL1 Parser Table'!I26),"ERRO",'LL1 Parser Table'!I26)</f>
        <v>ERRO</v>
      </c>
      <c r="H25" t="str">
        <f>IF(ISBLANK('LL1 Parser Table'!J26),"ERRO",'LL1 Parser Table'!J26)</f>
        <v>ERRO</v>
      </c>
      <c r="I25" t="str">
        <f>IF(ISBLANK('LL1 Parser Table'!K26),"ERRO",'LL1 Parser Table'!K26)</f>
        <v>ERRO</v>
      </c>
      <c r="J25" t="str">
        <f>IF(ISBLANK('LL1 Parser Table'!L26),"ERRO",'LL1 Parser Table'!L26)</f>
        <v>ERRO</v>
      </c>
      <c r="K25" t="str">
        <f>IF(ISBLANK('LL1 Parser Table'!M26),"ERRO",'LL1 Parser Table'!M26)</f>
        <v>ERRO</v>
      </c>
      <c r="L25" t="str">
        <f>IF(ISBLANK('LL1 Parser Table'!N26),"ERRO",'LL1 Parser Table'!N26)</f>
        <v>ERRO</v>
      </c>
      <c r="M25" t="str">
        <f>IF(ISBLANK('LL1 Parser Table'!O26),"ERRO",'LL1 Parser Table'!O26)</f>
        <v>ERRO</v>
      </c>
      <c r="N25" t="str">
        <f>IF(ISBLANK('LL1 Parser Table'!P26),"ERRO",'LL1 Parser Table'!P26)</f>
        <v>ERRO</v>
      </c>
      <c r="O25" t="str">
        <f>IF(ISBLANK('LL1 Parser Table'!Q26),"ERRO",'LL1 Parser Table'!Q26)</f>
        <v>ERRO</v>
      </c>
      <c r="P25" t="str">
        <f>IF(ISBLANK('LL1 Parser Table'!R26),"ERRO",'LL1 Parser Table'!R26)</f>
        <v>ERRO</v>
      </c>
      <c r="Q25" t="str">
        <f>IF(ISBLANK('LL1 Parser Table'!S26),"ERRO",'LL1 Parser Table'!S26)</f>
        <v>ERRO</v>
      </c>
      <c r="R25" t="str">
        <f>IF(ISBLANK('LL1 Parser Table'!T26),"ERRO",'LL1 Parser Table'!T26)</f>
        <v>ERRO</v>
      </c>
      <c r="S25" t="str">
        <f>IF(ISBLANK('LL1 Parser Table'!U26),"ERRO",'LL1 Parser Table'!U26)</f>
        <v>ERRO</v>
      </c>
      <c r="T25" t="str">
        <f>IF(ISBLANK('LL1 Parser Table'!V26),"ERRO",'LL1 Parser Table'!V26)</f>
        <v>ERRO</v>
      </c>
      <c r="U25" t="str">
        <f>IF(ISBLANK('LL1 Parser Table'!W26),"ERRO",'LL1 Parser Table'!W26)</f>
        <v>ERRO</v>
      </c>
      <c r="V25" t="str">
        <f>IF(ISBLANK('LL1 Parser Table'!X26),"ERRO",'LL1 Parser Table'!X26)</f>
        <v>ERRO</v>
      </c>
      <c r="W25" t="str">
        <f>IF(ISBLANK('LL1 Parser Table'!Y26),"ERRO",'LL1 Parser Table'!Y26)</f>
        <v>ERRO</v>
      </c>
      <c r="X25" t="str">
        <f>IF(ISBLANK('LL1 Parser Table'!Z26),"ERRO",'LL1 Parser Table'!Z26)</f>
        <v>ERRO</v>
      </c>
      <c r="Y25" t="str">
        <f>IF(ISBLANK('LL1 Parser Table'!AA26),"ERRO",'LL1 Parser Table'!AA26)</f>
        <v>ERRO</v>
      </c>
      <c r="Z25" t="str">
        <f>IF(ISBLANK('LL1 Parser Table'!AB26),"ERRO",'LL1 Parser Table'!AB26)</f>
        <v>ElseIf -&gt; ''</v>
      </c>
      <c r="AA25" t="str">
        <f>IF(ISBLANK('LL1 Parser Table'!AC26),"ERRO",'LL1 Parser Table'!AC26)</f>
        <v>ERRO</v>
      </c>
      <c r="AB25" t="str">
        <f>IF(ISBLANK('LL1 Parser Table'!AD26),"ERRO",'LL1 Parser Table'!AD26)</f>
        <v>ERRO</v>
      </c>
      <c r="AC25" t="str">
        <f>IF(ISBLANK('LL1 Parser Table'!AE26),"ERRO",'LL1 Parser Table'!AE26)</f>
        <v>ERRO</v>
      </c>
      <c r="AD25" t="str">
        <f>IF(ISBLANK('LL1 Parser Table'!AF26),"ERRO",'LL1 Parser Table'!AF26)</f>
        <v>ElseIf -&gt; senao ListaComandos</v>
      </c>
      <c r="AE25" t="str">
        <f>IF(ISBLANK('LL1 Parser Table'!AG26),"ERRO",'LL1 Parser Table'!AG26)</f>
        <v>ERRO</v>
      </c>
      <c r="AF25" t="str">
        <f>IF(ISBLANK('LL1 Parser Table'!AH26),"ERRO",'LL1 Parser Table'!AH26)</f>
        <v>ERRO</v>
      </c>
      <c r="AG25" t="str">
        <f>IF(ISBLANK('LL1 Parser Table'!AI26),"ERRO",'LL1 Parser Table'!AI26)</f>
        <v>ERRO</v>
      </c>
      <c r="AH25" t="str">
        <f>IF(ISBLANK('LL1 Parser Table'!AJ26),"ERRO",'LL1 Parser Table'!AJ26)</f>
        <v>ERRO</v>
      </c>
      <c r="AI25" t="str">
        <f>IF(ISBLANK('LL1 Parser Table'!AK26),"ERRO",'LL1 Parser Table'!AK26)</f>
        <v>ERRO</v>
      </c>
      <c r="AJ25" t="str">
        <f>IF(ISBLANK('LL1 Parser Table'!AL26),"ERRO",'LL1 Parser Table'!AL26)</f>
        <v>ERRO</v>
      </c>
      <c r="AK25" t="str">
        <f>IF(ISBLANK('LL1 Parser Table'!AM26),"ERRO",'LL1 Parser Table'!AM26)</f>
        <v>ERRO</v>
      </c>
      <c r="AL25" t="str">
        <f>IF(ISBLANK('LL1 Parser Table'!AN26),"ERRO",'LL1 Parser Table'!AN26)</f>
        <v>ERRO</v>
      </c>
      <c r="AM25" t="str">
        <f>IF(ISBLANK('LL1 Parser Table'!AO26),"ERRO",'LL1 Parser Table'!AO26)</f>
        <v>ERRO</v>
      </c>
      <c r="AN25" t="str">
        <f>IF(ISBLANK('LL1 Parser Table'!AP26),"ERRO",'LL1 Parser Table'!AP26)</f>
        <v>ERRO</v>
      </c>
      <c r="AO25" t="str">
        <f>IF(ISBLANK('LL1 Parser Table'!AQ26),"ERRO",'LL1 Parser Table'!AQ26)</f>
        <v>ERRO</v>
      </c>
      <c r="AP25" t="str">
        <f>IF(ISBLANK('LL1 Parser Table'!AR26),"ERRO",'LL1 Parser Table'!AR26)</f>
        <v>ERRO</v>
      </c>
      <c r="AQ25" t="str">
        <f>IF(ISBLANK('LL1 Parser Table'!AS26),"ERRO",'LL1 Parser Table'!AS26)</f>
        <v>ERRO</v>
      </c>
      <c r="AR25" t="str">
        <f>IF(ISBLANK('LL1 Parser Table'!AT26),"ERRO",'LL1 Parser Table'!AT26)</f>
        <v>ERRO</v>
      </c>
      <c r="AS25" t="str">
        <f>IF(ISBLANK('LL1 Parser Table'!AU26),"ERRO",'LL1 Parser Table'!AU26)</f>
        <v>ERRO</v>
      </c>
      <c r="AT25" t="str">
        <f>IF(ISBLANK('LL1 Parser Table'!AV26),"ERRO",'LL1 Parser Table'!AV26)</f>
        <v>ERRO</v>
      </c>
      <c r="AU25" t="str">
        <f>IF(ISBLANK('LL1 Parser Table'!AW26),"ERRO",'LL1 Parser Table'!AW26)</f>
        <v>ERRO</v>
      </c>
      <c r="AV25" t="str">
        <f>IF(ISBLANK('LL1 Parser Table'!AX26),"ERRO",'LL1 Parser Table'!AX26)</f>
        <v>ERRO</v>
      </c>
      <c r="AW25" t="str">
        <f>IF(ISBLANK('LL1 Parser Table'!AY26),"ERRO",'LL1 Parser Table'!AY26)</f>
        <v>ERRO</v>
      </c>
      <c r="AX25" t="str">
        <f>IF(ISBLANK('LL1 Parser Table'!AZ26),"ERRO",'LL1 Parser Table'!AZ26)</f>
        <v>ERRO</v>
      </c>
      <c r="AY25" t="str">
        <f>IF(ISBLANK('LL1 Parser Table'!BA26),"ERRO",'LL1 Parser Table'!BA26)</f>
        <v>ERRO</v>
      </c>
      <c r="AZ25" t="str">
        <f>IF(ISBLANK('LL1 Parser Table'!BB26),"ERRO",'LL1 Parser Table'!BB26)</f>
        <v>ERRO</v>
      </c>
      <c r="BA25" t="str">
        <f>IF(ISBLANK('LL1 Parser Table'!BC26),"ERRO",'LL1 Parser Table'!BC26)</f>
        <v>ERRO</v>
      </c>
      <c r="BB25" t="str">
        <f>IF(ISBLANK('LL1 Parser Table'!BD26),"ERRO",'LL1 Parser Table'!BD26)</f>
        <v>ERRO</v>
      </c>
      <c r="BC25" t="str">
        <f>IF(ISBLANK('LL1 Parser Table'!BE26),"ERRO",'LL1 Parser Table'!BE26)</f>
        <v>ERRO</v>
      </c>
      <c r="BD25" t="str">
        <f>IF(ISBLANK('LL1 Parser Table'!BF26),"ERRO",'LL1 Parser Table'!BF26)</f>
        <v>ERRO</v>
      </c>
      <c r="BE25" t="str">
        <f>IF(ISBLANK('LL1 Parser Table'!BG26),"ERRO",'LL1 Parser Table'!BG26)</f>
        <v>ERRO</v>
      </c>
    </row>
    <row r="26" spans="1:57" x14ac:dyDescent="0.35">
      <c r="A26">
        <v>25</v>
      </c>
      <c r="B26" s="8" t="str">
        <f>'LL1 Parser Table'!D27</f>
        <v>StepFor</v>
      </c>
      <c r="C26" t="str">
        <f>IF(ISBLANK('LL1 Parser Table'!E27),"ERRO",'LL1 Parser Table'!E27)</f>
        <v>ERRO</v>
      </c>
      <c r="D26" t="str">
        <f>IF(ISBLANK('LL1 Parser Table'!F27),"ERRO",'LL1 Parser Table'!F27)</f>
        <v>ERRO</v>
      </c>
      <c r="E26" t="str">
        <f>IF(ISBLANK('LL1 Parser Table'!G27),"ERRO",'LL1 Parser Table'!G27)</f>
        <v>ERRO</v>
      </c>
      <c r="F26" t="str">
        <f>IF(ISBLANK('LL1 Parser Table'!H27),"ERRO",'LL1 Parser Table'!H27)</f>
        <v>ERRO</v>
      </c>
      <c r="G26" t="str">
        <f>IF(ISBLANK('LL1 Parser Table'!I27),"ERRO",'LL1 Parser Table'!I27)</f>
        <v>ERRO</v>
      </c>
      <c r="H26" t="str">
        <f>IF(ISBLANK('LL1 Parser Table'!J27),"ERRO",'LL1 Parser Table'!J27)</f>
        <v>ERRO</v>
      </c>
      <c r="I26" t="str">
        <f>IF(ISBLANK('LL1 Parser Table'!K27),"ERRO",'LL1 Parser Table'!K27)</f>
        <v>ERRO</v>
      </c>
      <c r="J26" t="str">
        <f>IF(ISBLANK('LL1 Parser Table'!L27),"ERRO",'LL1 Parser Table'!L27)</f>
        <v>ERRO</v>
      </c>
      <c r="K26" t="str">
        <f>IF(ISBLANK('LL1 Parser Table'!M27),"ERRO",'LL1 Parser Table'!M27)</f>
        <v>ERRO</v>
      </c>
      <c r="L26" t="str">
        <f>IF(ISBLANK('LL1 Parser Table'!N27),"ERRO",'LL1 Parser Table'!N27)</f>
        <v>ERRO</v>
      </c>
      <c r="M26" t="str">
        <f>IF(ISBLANK('LL1 Parser Table'!O27),"ERRO",'LL1 Parser Table'!O27)</f>
        <v>ERRO</v>
      </c>
      <c r="N26" t="str">
        <f>IF(ISBLANK('LL1 Parser Table'!P27),"ERRO",'LL1 Parser Table'!P27)</f>
        <v>ERRO</v>
      </c>
      <c r="O26" t="str">
        <f>IF(ISBLANK('LL1 Parser Table'!Q27),"ERRO",'LL1 Parser Table'!Q27)</f>
        <v>ERRO</v>
      </c>
      <c r="P26" t="str">
        <f>IF(ISBLANK('LL1 Parser Table'!R27),"ERRO",'LL1 Parser Table'!R27)</f>
        <v>ERRO</v>
      </c>
      <c r="Q26" t="str">
        <f>IF(ISBLANK('LL1 Parser Table'!S27),"ERRO",'LL1 Parser Table'!S27)</f>
        <v>ERRO</v>
      </c>
      <c r="R26" t="str">
        <f>IF(ISBLANK('LL1 Parser Table'!T27),"ERRO",'LL1 Parser Table'!T27)</f>
        <v>ERRO</v>
      </c>
      <c r="S26" t="str">
        <f>IF(ISBLANK('LL1 Parser Table'!U27),"ERRO",'LL1 Parser Table'!U27)</f>
        <v>ERRO</v>
      </c>
      <c r="T26" t="str">
        <f>IF(ISBLANK('LL1 Parser Table'!V27),"ERRO",'LL1 Parser Table'!V27)</f>
        <v>ERRO</v>
      </c>
      <c r="U26" t="str">
        <f>IF(ISBLANK('LL1 Parser Table'!W27),"ERRO",'LL1 Parser Table'!W27)</f>
        <v>ERRO</v>
      </c>
      <c r="V26" t="str">
        <f>IF(ISBLANK('LL1 Parser Table'!X27),"ERRO",'LL1 Parser Table'!X27)</f>
        <v>ERRO</v>
      </c>
      <c r="W26" t="str">
        <f>IF(ISBLANK('LL1 Parser Table'!Y27),"ERRO",'LL1 Parser Table'!Y27)</f>
        <v>ERRO</v>
      </c>
      <c r="X26" t="str">
        <f>IF(ISBLANK('LL1 Parser Table'!Z27),"ERRO",'LL1 Parser Table'!Z27)</f>
        <v>ERRO</v>
      </c>
      <c r="Y26" t="str">
        <f>IF(ISBLANK('LL1 Parser Table'!AA27),"ERRO",'LL1 Parser Table'!AA27)</f>
        <v>ERRO</v>
      </c>
      <c r="Z26" t="str">
        <f>IF(ISBLANK('LL1 Parser Table'!AB27),"ERRO",'LL1 Parser Table'!AB27)</f>
        <v>ERRO</v>
      </c>
      <c r="AA26" t="str">
        <f>IF(ISBLANK('LL1 Parser Table'!AC27),"ERRO",'LL1 Parser Table'!AC27)</f>
        <v>ERRO</v>
      </c>
      <c r="AB26" t="str">
        <f>IF(ISBLANK('LL1 Parser Table'!AD27),"ERRO",'LL1 Parser Table'!AD27)</f>
        <v>ERRO</v>
      </c>
      <c r="AC26" t="str">
        <f>IF(ISBLANK('LL1 Parser Table'!AE27),"ERRO",'LL1 Parser Table'!AE27)</f>
        <v>ERRO</v>
      </c>
      <c r="AD26" t="str">
        <f>IF(ISBLANK('LL1 Parser Table'!AF27),"ERRO",'LL1 Parser Table'!AF27)</f>
        <v>ERRO</v>
      </c>
      <c r="AE26" t="str">
        <f>IF(ISBLANK('LL1 Parser Table'!AG27),"ERRO",'LL1 Parser Table'!AG27)</f>
        <v>ERRO</v>
      </c>
      <c r="AF26" t="str">
        <f>IF(ISBLANK('LL1 Parser Table'!AH27),"ERRO",'LL1 Parser Table'!AH27)</f>
        <v>StepFor -&gt; ''</v>
      </c>
      <c r="AG26" t="str">
        <f>IF(ISBLANK('LL1 Parser Table'!AI27),"ERRO",'LL1 Parser Table'!AI27)</f>
        <v>ERRO</v>
      </c>
      <c r="AH26" t="str">
        <f>IF(ISBLANK('LL1 Parser Table'!AJ27),"ERRO",'LL1 Parser Table'!AJ27)</f>
        <v>ERRO</v>
      </c>
      <c r="AI26" t="str">
        <f>IF(ISBLANK('LL1 Parser Table'!AK27),"ERRO",'LL1 Parser Table'!AK27)</f>
        <v>ERRO</v>
      </c>
      <c r="AJ26" t="str">
        <f>IF(ISBLANK('LL1 Parser Table'!AL27),"ERRO",'LL1 Parser Table'!AL27)</f>
        <v>StepFor -&gt; passo Expressao</v>
      </c>
      <c r="AK26" t="str">
        <f>IF(ISBLANK('LL1 Parser Table'!AM27),"ERRO",'LL1 Parser Table'!AM27)</f>
        <v>ERRO</v>
      </c>
      <c r="AL26" t="str">
        <f>IF(ISBLANK('LL1 Parser Table'!AN27),"ERRO",'LL1 Parser Table'!AN27)</f>
        <v>ERRO</v>
      </c>
      <c r="AM26" t="str">
        <f>IF(ISBLANK('LL1 Parser Table'!AO27),"ERRO",'LL1 Parser Table'!AO27)</f>
        <v>ERRO</v>
      </c>
      <c r="AN26" t="str">
        <f>IF(ISBLANK('LL1 Parser Table'!AP27),"ERRO",'LL1 Parser Table'!AP27)</f>
        <v>ERRO</v>
      </c>
      <c r="AO26" t="str">
        <f>IF(ISBLANK('LL1 Parser Table'!AQ27),"ERRO",'LL1 Parser Table'!AQ27)</f>
        <v>ERRO</v>
      </c>
      <c r="AP26" t="str">
        <f>IF(ISBLANK('LL1 Parser Table'!AR27),"ERRO",'LL1 Parser Table'!AR27)</f>
        <v>ERRO</v>
      </c>
      <c r="AQ26" t="str">
        <f>IF(ISBLANK('LL1 Parser Table'!AS27),"ERRO",'LL1 Parser Table'!AS27)</f>
        <v>ERRO</v>
      </c>
      <c r="AR26" t="str">
        <f>IF(ISBLANK('LL1 Parser Table'!AT27),"ERRO",'LL1 Parser Table'!AT27)</f>
        <v>ERRO</v>
      </c>
      <c r="AS26" t="str">
        <f>IF(ISBLANK('LL1 Parser Table'!AU27),"ERRO",'LL1 Parser Table'!AU27)</f>
        <v>ERRO</v>
      </c>
      <c r="AT26" t="str">
        <f>IF(ISBLANK('LL1 Parser Table'!AV27),"ERRO",'LL1 Parser Table'!AV27)</f>
        <v>ERRO</v>
      </c>
      <c r="AU26" t="str">
        <f>IF(ISBLANK('LL1 Parser Table'!AW27),"ERRO",'LL1 Parser Table'!AW27)</f>
        <v>ERRO</v>
      </c>
      <c r="AV26" t="str">
        <f>IF(ISBLANK('LL1 Parser Table'!AX27),"ERRO",'LL1 Parser Table'!AX27)</f>
        <v>ERRO</v>
      </c>
      <c r="AW26" t="str">
        <f>IF(ISBLANK('LL1 Parser Table'!AY27),"ERRO",'LL1 Parser Table'!AY27)</f>
        <v>ERRO</v>
      </c>
      <c r="AX26" t="str">
        <f>IF(ISBLANK('LL1 Parser Table'!AZ27),"ERRO",'LL1 Parser Table'!AZ27)</f>
        <v>ERRO</v>
      </c>
      <c r="AY26" t="str">
        <f>IF(ISBLANK('LL1 Parser Table'!BA27),"ERRO",'LL1 Parser Table'!BA27)</f>
        <v>ERRO</v>
      </c>
      <c r="AZ26" t="str">
        <f>IF(ISBLANK('LL1 Parser Table'!BB27),"ERRO",'LL1 Parser Table'!BB27)</f>
        <v>ERRO</v>
      </c>
      <c r="BA26" t="str">
        <f>IF(ISBLANK('LL1 Parser Table'!BC27),"ERRO",'LL1 Parser Table'!BC27)</f>
        <v>ERRO</v>
      </c>
      <c r="BB26" t="str">
        <f>IF(ISBLANK('LL1 Parser Table'!BD27),"ERRO",'LL1 Parser Table'!BD27)</f>
        <v>ERRO</v>
      </c>
      <c r="BC26" t="str">
        <f>IF(ISBLANK('LL1 Parser Table'!BE27),"ERRO",'LL1 Parser Table'!BE27)</f>
        <v>ERRO</v>
      </c>
      <c r="BD26" t="str">
        <f>IF(ISBLANK('LL1 Parser Table'!BF27),"ERRO",'LL1 Parser Table'!BF27)</f>
        <v>ERRO</v>
      </c>
      <c r="BE26" t="str">
        <f>IF(ISBLANK('LL1 Parser Table'!BG27),"ERRO",'LL1 Parser Table'!BG27)</f>
        <v>ERRO</v>
      </c>
    </row>
    <row r="27" spans="1:57" x14ac:dyDescent="0.35">
      <c r="A27">
        <v>26</v>
      </c>
      <c r="B27" s="8" t="str">
        <f>'LL1 Parser Table'!D28</f>
        <v>Expressao</v>
      </c>
      <c r="C27" t="str">
        <f>IF(ISBLANK('LL1 Parser Table'!E28),"ERRO",'LL1 Parser Table'!E28)</f>
        <v>ERRO</v>
      </c>
      <c r="D27" t="str">
        <f>IF(ISBLANK('LL1 Parser Table'!F28),"ERRO",'LL1 Parser Table'!F28)</f>
        <v>Expressao -&gt; ExpressaoSimples ExpressaoNew</v>
      </c>
      <c r="E27" t="str">
        <f>IF(ISBLANK('LL1 Parser Table'!G28),"ERRO",'LL1 Parser Table'!G28)</f>
        <v>Expressao -&gt; ExpressaoSimples ExpressaoNew</v>
      </c>
      <c r="F27" t="str">
        <f>IF(ISBLANK('LL1 Parser Table'!H28),"ERRO",'LL1 Parser Table'!H28)</f>
        <v>ERRO</v>
      </c>
      <c r="G27" t="str">
        <f>IF(ISBLANK('LL1 Parser Table'!I28),"ERRO",'LL1 Parser Table'!I28)</f>
        <v>ERRO</v>
      </c>
      <c r="H27" t="str">
        <f>IF(ISBLANK('LL1 Parser Table'!J28),"ERRO",'LL1 Parser Table'!J28)</f>
        <v>ERRO</v>
      </c>
      <c r="I27" t="str">
        <f>IF(ISBLANK('LL1 Parser Table'!K28),"ERRO",'LL1 Parser Table'!K28)</f>
        <v>ERRO</v>
      </c>
      <c r="J27" t="str">
        <f>IF(ISBLANK('LL1 Parser Table'!L28),"ERRO",'LL1 Parser Table'!L28)</f>
        <v>Expressao -&gt; ExpressaoSimples ExpressaoNew</v>
      </c>
      <c r="K27" t="str">
        <f>IF(ISBLANK('LL1 Parser Table'!M28),"ERRO",'LL1 Parser Table'!M28)</f>
        <v>Expressao -&gt; ExpressaoSimples ExpressaoNew</v>
      </c>
      <c r="L27" t="str">
        <f>IF(ISBLANK('LL1 Parser Table'!N28),"ERRO",'LL1 Parser Table'!N28)</f>
        <v>ERRO</v>
      </c>
      <c r="M27" t="str">
        <f>IF(ISBLANK('LL1 Parser Table'!O28),"ERRO",'LL1 Parser Table'!O28)</f>
        <v>ERRO</v>
      </c>
      <c r="N27" t="str">
        <f>IF(ISBLANK('LL1 Parser Table'!P28),"ERRO",'LL1 Parser Table'!P28)</f>
        <v>Expressao -&gt; ExpressaoSimples ExpressaoNew</v>
      </c>
      <c r="O27" t="str">
        <f>IF(ISBLANK('LL1 Parser Table'!Q28),"ERRO",'LL1 Parser Table'!Q28)</f>
        <v>ERRO</v>
      </c>
      <c r="P27" t="str">
        <f>IF(ISBLANK('LL1 Parser Table'!R28),"ERRO",'LL1 Parser Table'!R28)</f>
        <v>Expressao -&gt; ExpressaoSimples ExpressaoNew</v>
      </c>
      <c r="Q27" t="str">
        <f>IF(ISBLANK('LL1 Parser Table'!S28),"ERRO",'LL1 Parser Table'!S28)</f>
        <v>Expressao -&gt; ExpressaoSimples ExpressaoNew</v>
      </c>
      <c r="R27" t="str">
        <f>IF(ISBLANK('LL1 Parser Table'!T28),"ERRO",'LL1 Parser Table'!T28)</f>
        <v>ERRO</v>
      </c>
      <c r="S27" t="str">
        <f>IF(ISBLANK('LL1 Parser Table'!U28),"ERRO",'LL1 Parser Table'!U28)</f>
        <v>ERRO</v>
      </c>
      <c r="T27" t="str">
        <f>IF(ISBLANK('LL1 Parser Table'!V28),"ERRO",'LL1 Parser Table'!V28)</f>
        <v>Expressao -&gt; ExpressaoSimples ExpressaoNew</v>
      </c>
      <c r="U27" t="str">
        <f>IF(ISBLANK('LL1 Parser Table'!W28),"ERRO",'LL1 Parser Table'!W28)</f>
        <v>ERRO</v>
      </c>
      <c r="V27" t="str">
        <f>IF(ISBLANK('LL1 Parser Table'!X28),"ERRO",'LL1 Parser Table'!X28)</f>
        <v>ERRO</v>
      </c>
      <c r="W27" t="str">
        <f>IF(ISBLANK('LL1 Parser Table'!Y28),"ERRO",'LL1 Parser Table'!Y28)</f>
        <v>ERRO</v>
      </c>
      <c r="X27" t="str">
        <f>IF(ISBLANK('LL1 Parser Table'!Z28),"ERRO",'LL1 Parser Table'!Z28)</f>
        <v>ERRO</v>
      </c>
      <c r="Y27" t="str">
        <f>IF(ISBLANK('LL1 Parser Table'!AA28),"ERRO",'LL1 Parser Table'!AA28)</f>
        <v>ERRO</v>
      </c>
      <c r="Z27" t="str">
        <f>IF(ISBLANK('LL1 Parser Table'!AB28),"ERRO",'LL1 Parser Table'!AB28)</f>
        <v>ERRO</v>
      </c>
      <c r="AA27" t="str">
        <f>IF(ISBLANK('LL1 Parser Table'!AC28),"ERRO",'LL1 Parser Table'!AC28)</f>
        <v>ERRO</v>
      </c>
      <c r="AB27" t="str">
        <f>IF(ISBLANK('LL1 Parser Table'!AD28),"ERRO",'LL1 Parser Table'!AD28)</f>
        <v>ERRO</v>
      </c>
      <c r="AC27" t="str">
        <f>IF(ISBLANK('LL1 Parser Table'!AE28),"ERRO",'LL1 Parser Table'!AE28)</f>
        <v>Expressao -&gt; ExpressaoSimples ExpressaoNew</v>
      </c>
      <c r="AD27" t="str">
        <f>IF(ISBLANK('LL1 Parser Table'!AF28),"ERRO",'LL1 Parser Table'!AF28)</f>
        <v>ERRO</v>
      </c>
      <c r="AE27" t="str">
        <f>IF(ISBLANK('LL1 Parser Table'!AG28),"ERRO",'LL1 Parser Table'!AG28)</f>
        <v>ERRO</v>
      </c>
      <c r="AF27" t="str">
        <f>IF(ISBLANK('LL1 Parser Table'!AH28),"ERRO",'LL1 Parser Table'!AH28)</f>
        <v>Expressao -&gt; ExpressaoSimples ExpressaoNew</v>
      </c>
      <c r="AG27" t="str">
        <f>IF(ISBLANK('LL1 Parser Table'!AI28),"ERRO",'LL1 Parser Table'!AI28)</f>
        <v>ERRO</v>
      </c>
      <c r="AH27" t="str">
        <f>IF(ISBLANK('LL1 Parser Table'!AJ28),"ERRO",'LL1 Parser Table'!AJ28)</f>
        <v>ERRO</v>
      </c>
      <c r="AI27" t="str">
        <f>IF(ISBLANK('LL1 Parser Table'!AK28),"ERRO",'LL1 Parser Table'!AK28)</f>
        <v>Expressao -&gt; ExpressaoSimples ExpressaoNew</v>
      </c>
      <c r="AJ27" t="str">
        <f>IF(ISBLANK('LL1 Parser Table'!AL28),"ERRO",'LL1 Parser Table'!AL28)</f>
        <v>Expressao -&gt; ExpressaoSimples ExpressaoNew</v>
      </c>
      <c r="AK27" t="str">
        <f>IF(ISBLANK('LL1 Parser Table'!AM28),"ERRO",'LL1 Parser Table'!AM28)</f>
        <v>ERRO</v>
      </c>
      <c r="AL27" t="str">
        <f>IF(ISBLANK('LL1 Parser Table'!AN28),"ERRO",'LL1 Parser Table'!AN28)</f>
        <v>ERRO</v>
      </c>
      <c r="AM27" t="str">
        <f>IF(ISBLANK('LL1 Parser Table'!AO28),"ERRO",'LL1 Parser Table'!AO28)</f>
        <v>ERRO</v>
      </c>
      <c r="AN27" t="str">
        <f>IF(ISBLANK('LL1 Parser Table'!AP28),"ERRO",'LL1 Parser Table'!AP28)</f>
        <v>Expressao -&gt; ExpressaoSimples ExpressaoNew</v>
      </c>
      <c r="AO27" t="str">
        <f>IF(ISBLANK('LL1 Parser Table'!AQ28),"ERRO",'LL1 Parser Table'!AQ28)</f>
        <v>Expressao -&gt; ExpressaoSimples ExpressaoNew</v>
      </c>
      <c r="AP27" t="str">
        <f>IF(ISBLANK('LL1 Parser Table'!AR28),"ERRO",'LL1 Parser Table'!AR28)</f>
        <v>Expressao -&gt; ExpressaoSimples ExpressaoNew</v>
      </c>
      <c r="AQ27" t="str">
        <f>IF(ISBLANK('LL1 Parser Table'!AS28),"ERRO",'LL1 Parser Table'!AS28)</f>
        <v>Expressao -&gt; ExpressaoSimples ExpressaoNew</v>
      </c>
      <c r="AR27" t="str">
        <f>IF(ISBLANK('LL1 Parser Table'!AT28),"ERRO",'LL1 Parser Table'!AT28)</f>
        <v>Expressao -&gt; ExpressaoSimples ExpressaoNew</v>
      </c>
      <c r="AS27" t="str">
        <f>IF(ISBLANK('LL1 Parser Table'!AU28),"ERRO",'LL1 Parser Table'!AU28)</f>
        <v>Expressao -&gt; ExpressaoSimples ExpressaoNew</v>
      </c>
      <c r="AT27" t="str">
        <f>IF(ISBLANK('LL1 Parser Table'!AV28),"ERRO",'LL1 Parser Table'!AV28)</f>
        <v>Expressao -&gt; ExpressaoSimples ExpressaoNew</v>
      </c>
      <c r="AU27" t="str">
        <f>IF(ISBLANK('LL1 Parser Table'!AW28),"ERRO",'LL1 Parser Table'!AW28)</f>
        <v>ERRO</v>
      </c>
      <c r="AV27" t="str">
        <f>IF(ISBLANK('LL1 Parser Table'!AX28),"ERRO",'LL1 Parser Table'!AX28)</f>
        <v>ERRO</v>
      </c>
      <c r="AW27" t="str">
        <f>IF(ISBLANK('LL1 Parser Table'!AY28),"ERRO",'LL1 Parser Table'!AY28)</f>
        <v>ERRO</v>
      </c>
      <c r="AX27" t="str">
        <f>IF(ISBLANK('LL1 Parser Table'!AZ28),"ERRO",'LL1 Parser Table'!AZ28)</f>
        <v>ERRO</v>
      </c>
      <c r="AY27" t="str">
        <f>IF(ISBLANK('LL1 Parser Table'!BA28),"ERRO",'LL1 Parser Table'!BA28)</f>
        <v>ERRO</v>
      </c>
      <c r="AZ27" t="str">
        <f>IF(ISBLANK('LL1 Parser Table'!BB28),"ERRO",'LL1 Parser Table'!BB28)</f>
        <v>Expressao -&gt; ExpressaoSimples ExpressaoNew</v>
      </c>
      <c r="BA27" t="str">
        <f>IF(ISBLANK('LL1 Parser Table'!BC28),"ERRO",'LL1 Parser Table'!BC28)</f>
        <v>Expressao -&gt; ExpressaoSimples ExpressaoNew</v>
      </c>
      <c r="BB27" t="str">
        <f>IF(ISBLANK('LL1 Parser Table'!BD28),"ERRO",'LL1 Parser Table'!BD28)</f>
        <v>Expressao -&gt; ExpressaoSimples ExpressaoNew</v>
      </c>
      <c r="BC27" t="str">
        <f>IF(ISBLANK('LL1 Parser Table'!BE28),"ERRO",'LL1 Parser Table'!BE28)</f>
        <v>Expressao -&gt; ExpressaoSimples ExpressaoNew</v>
      </c>
      <c r="BD27" t="str">
        <f>IF(ISBLANK('LL1 Parser Table'!BF28),"ERRO",'LL1 Parser Table'!BF28)</f>
        <v>Expressao -&gt; ExpressaoSimples ExpressaoNew</v>
      </c>
      <c r="BE27" t="str">
        <f>IF(ISBLANK('LL1 Parser Table'!BG28),"ERRO",'LL1 Parser Table'!BG28)</f>
        <v>ERRO</v>
      </c>
    </row>
    <row r="28" spans="1:57" x14ac:dyDescent="0.35">
      <c r="A28">
        <v>27</v>
      </c>
      <c r="B28" s="8" t="str">
        <f>'LL1 Parser Table'!D29</f>
        <v>ExpressaoNew</v>
      </c>
      <c r="C28" t="str">
        <f>IF(ISBLANK('LL1 Parser Table'!E29),"ERRO",'LL1 Parser Table'!E29)</f>
        <v>ERRO</v>
      </c>
      <c r="D28" t="str">
        <f>IF(ISBLANK('LL1 Parser Table'!F29),"ERRO",'LL1 Parser Table'!F29)</f>
        <v>ERRO</v>
      </c>
      <c r="E28" t="str">
        <f>IF(ISBLANK('LL1 Parser Table'!G29),"ERRO",'LL1 Parser Table'!G29)</f>
        <v>ExpressaoNew -&gt; ''</v>
      </c>
      <c r="F28" t="str">
        <f>IF(ISBLANK('LL1 Parser Table'!H29),"ERRO",'LL1 Parser Table'!H29)</f>
        <v>ERRO</v>
      </c>
      <c r="G28" t="str">
        <f>IF(ISBLANK('LL1 Parser Table'!I29),"ERRO",'LL1 Parser Table'!I29)</f>
        <v>ERRO</v>
      </c>
      <c r="H28" t="str">
        <f>IF(ISBLANK('LL1 Parser Table'!J29),"ERRO",'LL1 Parser Table'!J29)</f>
        <v>ERRO</v>
      </c>
      <c r="I28" t="str">
        <f>IF(ISBLANK('LL1 Parser Table'!K29),"ERRO",'LL1 Parser Table'!K29)</f>
        <v>ERRO</v>
      </c>
      <c r="J28" t="str">
        <f>IF(ISBLANK('LL1 Parser Table'!L29),"ERRO",'LL1 Parser Table'!L29)</f>
        <v>ERRO</v>
      </c>
      <c r="K28" t="str">
        <f>IF(ISBLANK('LL1 Parser Table'!M29),"ERRO",'LL1 Parser Table'!M29)</f>
        <v>ExpressaoNew -&gt; ''</v>
      </c>
      <c r="L28" t="str">
        <f>IF(ISBLANK('LL1 Parser Table'!N29),"ERRO",'LL1 Parser Table'!N29)</f>
        <v>ERRO</v>
      </c>
      <c r="M28" t="str">
        <f>IF(ISBLANK('LL1 Parser Table'!O29),"ERRO",'LL1 Parser Table'!O29)</f>
        <v>ERRO</v>
      </c>
      <c r="N28" t="str">
        <f>IF(ISBLANK('LL1 Parser Table'!P29),"ERRO",'LL1 Parser Table'!P29)</f>
        <v>ExpressaoNew -&gt; = ExpressaoSimples ExpressaoNew</v>
      </c>
      <c r="O28" t="str">
        <f>IF(ISBLANK('LL1 Parser Table'!Q29),"ERRO",'LL1 Parser Table'!Q29)</f>
        <v>ERRO</v>
      </c>
      <c r="P28" t="str">
        <f>IF(ISBLANK('LL1 Parser Table'!R29),"ERRO",'LL1 Parser Table'!R29)</f>
        <v>ExpressaoNew -&gt; ''</v>
      </c>
      <c r="Q28" t="str">
        <f>IF(ISBLANK('LL1 Parser Table'!S29),"ERRO",'LL1 Parser Table'!S29)</f>
        <v>ExpressaoNew -&gt; ''</v>
      </c>
      <c r="R28" t="str">
        <f>IF(ISBLANK('LL1 Parser Table'!T29),"ERRO",'LL1 Parser Table'!T29)</f>
        <v>ERRO</v>
      </c>
      <c r="S28" t="str">
        <f>IF(ISBLANK('LL1 Parser Table'!U29),"ERRO",'LL1 Parser Table'!U29)</f>
        <v>ERRO</v>
      </c>
      <c r="T28" t="str">
        <f>IF(ISBLANK('LL1 Parser Table'!V29),"ERRO",'LL1 Parser Table'!V29)</f>
        <v>ERRO</v>
      </c>
      <c r="U28" t="str">
        <f>IF(ISBLANK('LL1 Parser Table'!W29),"ERRO",'LL1 Parser Table'!W29)</f>
        <v>ERRO</v>
      </c>
      <c r="V28" t="str">
        <f>IF(ISBLANK('LL1 Parser Table'!X29),"ERRO",'LL1 Parser Table'!X29)</f>
        <v>ERRO</v>
      </c>
      <c r="W28" t="str">
        <f>IF(ISBLANK('LL1 Parser Table'!Y29),"ERRO",'LL1 Parser Table'!Y29)</f>
        <v>ERRO</v>
      </c>
      <c r="X28" t="str">
        <f>IF(ISBLANK('LL1 Parser Table'!Z29),"ERRO",'LL1 Parser Table'!Z29)</f>
        <v>ERRO</v>
      </c>
      <c r="Y28" t="str">
        <f>IF(ISBLANK('LL1 Parser Table'!AA29),"ERRO",'LL1 Parser Table'!AA29)</f>
        <v>ERRO</v>
      </c>
      <c r="Z28" t="str">
        <f>IF(ISBLANK('LL1 Parser Table'!AB29),"ERRO",'LL1 Parser Table'!AB29)</f>
        <v>ERRO</v>
      </c>
      <c r="AA28" t="str">
        <f>IF(ISBLANK('LL1 Parser Table'!AC29),"ERRO",'LL1 Parser Table'!AC29)</f>
        <v>ERRO</v>
      </c>
      <c r="AB28" t="str">
        <f>IF(ISBLANK('LL1 Parser Table'!AD29),"ERRO",'LL1 Parser Table'!AD29)</f>
        <v>ERRO</v>
      </c>
      <c r="AC28" t="str">
        <f>IF(ISBLANK('LL1 Parser Table'!AE29),"ERRO",'LL1 Parser Table'!AE29)</f>
        <v>ExpressaoNew -&gt; ''</v>
      </c>
      <c r="AD28" t="str">
        <f>IF(ISBLANK('LL1 Parser Table'!AF29),"ERRO",'LL1 Parser Table'!AF29)</f>
        <v>ERRO</v>
      </c>
      <c r="AE28" t="str">
        <f>IF(ISBLANK('LL1 Parser Table'!AG29),"ERRO",'LL1 Parser Table'!AG29)</f>
        <v>ERRO</v>
      </c>
      <c r="AF28" t="str">
        <f>IF(ISBLANK('LL1 Parser Table'!AH29),"ERRO",'LL1 Parser Table'!AH29)</f>
        <v>ExpressaoNew -&gt; ''</v>
      </c>
      <c r="AG28" t="str">
        <f>IF(ISBLANK('LL1 Parser Table'!AI29),"ERRO",'LL1 Parser Table'!AI29)</f>
        <v>ERRO</v>
      </c>
      <c r="AH28" t="str">
        <f>IF(ISBLANK('LL1 Parser Table'!AJ29),"ERRO",'LL1 Parser Table'!AJ29)</f>
        <v>ERRO</v>
      </c>
      <c r="AI28" t="str">
        <f>IF(ISBLANK('LL1 Parser Table'!AK29),"ERRO",'LL1 Parser Table'!AK29)</f>
        <v>ExpressaoNew -&gt; ''</v>
      </c>
      <c r="AJ28" t="str">
        <f>IF(ISBLANK('LL1 Parser Table'!AL29),"ERRO",'LL1 Parser Table'!AL29)</f>
        <v>ExpressaoNew -&gt; ''</v>
      </c>
      <c r="AK28" t="str">
        <f>IF(ISBLANK('LL1 Parser Table'!AM29),"ERRO",'LL1 Parser Table'!AM29)</f>
        <v>ERRO</v>
      </c>
      <c r="AL28" t="str">
        <f>IF(ISBLANK('LL1 Parser Table'!AN29),"ERRO",'LL1 Parser Table'!AN29)</f>
        <v>ERRO</v>
      </c>
      <c r="AM28" t="str">
        <f>IF(ISBLANK('LL1 Parser Table'!AO29),"ERRO",'LL1 Parser Table'!AO29)</f>
        <v>ERRO</v>
      </c>
      <c r="AN28" t="str">
        <f>IF(ISBLANK('LL1 Parser Table'!AP29),"ERRO",'LL1 Parser Table'!AP29)</f>
        <v>ExpressaoNew -&gt; &lt;&gt; ExpressaoSimples ExpressaoNew</v>
      </c>
      <c r="AO28" t="str">
        <f>IF(ISBLANK('LL1 Parser Table'!AQ29),"ERRO",'LL1 Parser Table'!AQ29)</f>
        <v>ExpressaoNew -&gt; &lt; ExpressaoSimples ExpressaoNew</v>
      </c>
      <c r="AP28" t="str">
        <f>IF(ISBLANK('LL1 Parser Table'!AR29),"ERRO",'LL1 Parser Table'!AR29)</f>
        <v>ExpressaoNew -&gt; &lt;= ExpressaoSimples ExpressaoNew</v>
      </c>
      <c r="AQ28" t="str">
        <f>IF(ISBLANK('LL1 Parser Table'!AS29),"ERRO",'LL1 Parser Table'!AS29)</f>
        <v>ExpressaoNew -&gt; &gt;= ExpressaoSimples ExpressaoNew</v>
      </c>
      <c r="AR28" t="str">
        <f>IF(ISBLANK('LL1 Parser Table'!AT29),"ERRO",'LL1 Parser Table'!AT29)</f>
        <v>ExpressaoNew -&gt; &gt; ExpressaoSimples ExpressaoNew</v>
      </c>
      <c r="AS28" t="str">
        <f>IF(ISBLANK('LL1 Parser Table'!AU29),"ERRO",'LL1 Parser Table'!AU29)</f>
        <v>ERRO</v>
      </c>
      <c r="AT28" t="str">
        <f>IF(ISBLANK('LL1 Parser Table'!AV29),"ERRO",'LL1 Parser Table'!AV29)</f>
        <v>ERRO</v>
      </c>
      <c r="AU28" t="str">
        <f>IF(ISBLANK('LL1 Parser Table'!AW29),"ERRO",'LL1 Parser Table'!AW29)</f>
        <v>ERRO</v>
      </c>
      <c r="AV28" t="str">
        <f>IF(ISBLANK('LL1 Parser Table'!AX29),"ERRO",'LL1 Parser Table'!AX29)</f>
        <v>ERRO</v>
      </c>
      <c r="AW28" t="str">
        <f>IF(ISBLANK('LL1 Parser Table'!AY29),"ERRO",'LL1 Parser Table'!AY29)</f>
        <v>ERRO</v>
      </c>
      <c r="AX28" t="str">
        <f>IF(ISBLANK('LL1 Parser Table'!AZ29),"ERRO",'LL1 Parser Table'!AZ29)</f>
        <v>ERRO</v>
      </c>
      <c r="AY28" t="str">
        <f>IF(ISBLANK('LL1 Parser Table'!BA29),"ERRO",'LL1 Parser Table'!BA29)</f>
        <v>ERRO</v>
      </c>
      <c r="AZ28" t="str">
        <f>IF(ISBLANK('LL1 Parser Table'!BB29),"ERRO",'LL1 Parser Table'!BB29)</f>
        <v>ERRO</v>
      </c>
      <c r="BA28" t="str">
        <f>IF(ISBLANK('LL1 Parser Table'!BC29),"ERRO",'LL1 Parser Table'!BC29)</f>
        <v>ERRO</v>
      </c>
      <c r="BB28" t="str">
        <f>IF(ISBLANK('LL1 Parser Table'!BD29),"ERRO",'LL1 Parser Table'!BD29)</f>
        <v>ERRO</v>
      </c>
      <c r="BC28" t="str">
        <f>IF(ISBLANK('LL1 Parser Table'!BE29),"ERRO",'LL1 Parser Table'!BE29)</f>
        <v>ERRO</v>
      </c>
      <c r="BD28" t="str">
        <f>IF(ISBLANK('LL1 Parser Table'!BF29),"ERRO",'LL1 Parser Table'!BF29)</f>
        <v>ERRO</v>
      </c>
      <c r="BE28" t="str">
        <f>IF(ISBLANK('LL1 Parser Table'!BG29),"ERRO",'LL1 Parser Table'!BG29)</f>
        <v>ERRO</v>
      </c>
    </row>
    <row r="29" spans="1:57" x14ac:dyDescent="0.35">
      <c r="A29">
        <v>28</v>
      </c>
      <c r="B29" s="8" t="str">
        <f>'LL1 Parser Table'!D30</f>
        <v>ExpressaoSimples</v>
      </c>
      <c r="C29" t="str">
        <f>IF(ISBLANK('LL1 Parser Table'!E30),"ERRO",'LL1 Parser Table'!E30)</f>
        <v>ERRO</v>
      </c>
      <c r="D29" t="str">
        <f>IF(ISBLANK('LL1 Parser Table'!F30),"ERRO",'LL1 Parser Table'!F30)</f>
        <v>ExpressaoSimples -&gt; Signal Termo ExpressaoSimplesNew</v>
      </c>
      <c r="E29" t="str">
        <f>IF(ISBLANK('LL1 Parser Table'!G30),"ERRO",'LL1 Parser Table'!G30)</f>
        <v>ExpressaoSimples -&gt; Signal Termo ExpressaoSimplesNew</v>
      </c>
      <c r="F29" t="str">
        <f>IF(ISBLANK('LL1 Parser Table'!H30),"ERRO",'LL1 Parser Table'!H30)</f>
        <v>ERRO</v>
      </c>
      <c r="G29" t="str">
        <f>IF(ISBLANK('LL1 Parser Table'!I30),"ERRO",'LL1 Parser Table'!I30)</f>
        <v>ERRO</v>
      </c>
      <c r="H29" t="str">
        <f>IF(ISBLANK('LL1 Parser Table'!J30),"ERRO",'LL1 Parser Table'!J30)</f>
        <v>ERRO</v>
      </c>
      <c r="I29" t="str">
        <f>IF(ISBLANK('LL1 Parser Table'!K30),"ERRO",'LL1 Parser Table'!K30)</f>
        <v>ERRO</v>
      </c>
      <c r="J29" t="str">
        <f>IF(ISBLANK('LL1 Parser Table'!L30),"ERRO",'LL1 Parser Table'!L30)</f>
        <v>ExpressaoSimples -&gt; Signal Termo ExpressaoSimplesNew</v>
      </c>
      <c r="K29" t="str">
        <f>IF(ISBLANK('LL1 Parser Table'!M30),"ERRO",'LL1 Parser Table'!M30)</f>
        <v>ExpressaoSimples -&gt; Signal Termo ExpressaoSimplesNew</v>
      </c>
      <c r="L29" t="str">
        <f>IF(ISBLANK('LL1 Parser Table'!N30),"ERRO",'LL1 Parser Table'!N30)</f>
        <v>ERRO</v>
      </c>
      <c r="M29" t="str">
        <f>IF(ISBLANK('LL1 Parser Table'!O30),"ERRO",'LL1 Parser Table'!O30)</f>
        <v>ERRO</v>
      </c>
      <c r="N29" t="str">
        <f>IF(ISBLANK('LL1 Parser Table'!P30),"ERRO",'LL1 Parser Table'!P30)</f>
        <v>ExpressaoSimples -&gt; Signal Termo ExpressaoSimplesNew</v>
      </c>
      <c r="O29" t="str">
        <f>IF(ISBLANK('LL1 Parser Table'!Q30),"ERRO",'LL1 Parser Table'!Q30)</f>
        <v>ERRO</v>
      </c>
      <c r="P29" t="str">
        <f>IF(ISBLANK('LL1 Parser Table'!R30),"ERRO",'LL1 Parser Table'!R30)</f>
        <v>ExpressaoSimples -&gt; Signal Termo ExpressaoSimplesNew</v>
      </c>
      <c r="Q29" t="str">
        <f>IF(ISBLANK('LL1 Parser Table'!S30),"ERRO",'LL1 Parser Table'!S30)</f>
        <v>ExpressaoSimples -&gt; Signal Termo ExpressaoSimplesNew</v>
      </c>
      <c r="R29" t="str">
        <f>IF(ISBLANK('LL1 Parser Table'!T30),"ERRO",'LL1 Parser Table'!T30)</f>
        <v>ERRO</v>
      </c>
      <c r="S29" t="str">
        <f>IF(ISBLANK('LL1 Parser Table'!U30),"ERRO",'LL1 Parser Table'!U30)</f>
        <v>ERRO</v>
      </c>
      <c r="T29" t="str">
        <f>IF(ISBLANK('LL1 Parser Table'!V30),"ERRO",'LL1 Parser Table'!V30)</f>
        <v>ExpressaoSimples -&gt; Signal Termo ExpressaoSimplesNew</v>
      </c>
      <c r="U29" t="str">
        <f>IF(ISBLANK('LL1 Parser Table'!W30),"ERRO",'LL1 Parser Table'!W30)</f>
        <v>ERRO</v>
      </c>
      <c r="V29" t="str">
        <f>IF(ISBLANK('LL1 Parser Table'!X30),"ERRO",'LL1 Parser Table'!X30)</f>
        <v>ERRO</v>
      </c>
      <c r="W29" t="str">
        <f>IF(ISBLANK('LL1 Parser Table'!Y30),"ERRO",'LL1 Parser Table'!Y30)</f>
        <v>ERRO</v>
      </c>
      <c r="X29" t="str">
        <f>IF(ISBLANK('LL1 Parser Table'!Z30),"ERRO",'LL1 Parser Table'!Z30)</f>
        <v>ERRO</v>
      </c>
      <c r="Y29" t="str">
        <f>IF(ISBLANK('LL1 Parser Table'!AA30),"ERRO",'LL1 Parser Table'!AA30)</f>
        <v>ERRO</v>
      </c>
      <c r="Z29" t="str">
        <f>IF(ISBLANK('LL1 Parser Table'!AB30),"ERRO",'LL1 Parser Table'!AB30)</f>
        <v>ERRO</v>
      </c>
      <c r="AA29" t="str">
        <f>IF(ISBLANK('LL1 Parser Table'!AC30),"ERRO",'LL1 Parser Table'!AC30)</f>
        <v>ERRO</v>
      </c>
      <c r="AB29" t="str">
        <f>IF(ISBLANK('LL1 Parser Table'!AD30),"ERRO",'LL1 Parser Table'!AD30)</f>
        <v>ERRO</v>
      </c>
      <c r="AC29" t="str">
        <f>IF(ISBLANK('LL1 Parser Table'!AE30),"ERRO",'LL1 Parser Table'!AE30)</f>
        <v>ExpressaoSimples -&gt; Signal Termo ExpressaoSimplesNew</v>
      </c>
      <c r="AD29" t="str">
        <f>IF(ISBLANK('LL1 Parser Table'!AF30),"ERRO",'LL1 Parser Table'!AF30)</f>
        <v>ERRO</v>
      </c>
      <c r="AE29" t="str">
        <f>IF(ISBLANK('LL1 Parser Table'!AG30),"ERRO",'LL1 Parser Table'!AG30)</f>
        <v>ERRO</v>
      </c>
      <c r="AF29" t="str">
        <f>IF(ISBLANK('LL1 Parser Table'!AH30),"ERRO",'LL1 Parser Table'!AH30)</f>
        <v>ExpressaoSimples -&gt; Signal Termo ExpressaoSimplesNew</v>
      </c>
      <c r="AG29" t="str">
        <f>IF(ISBLANK('LL1 Parser Table'!AI30),"ERRO",'LL1 Parser Table'!AI30)</f>
        <v>ERRO</v>
      </c>
      <c r="AH29" t="str">
        <f>IF(ISBLANK('LL1 Parser Table'!AJ30),"ERRO",'LL1 Parser Table'!AJ30)</f>
        <v>ERRO</v>
      </c>
      <c r="AI29" t="str">
        <f>IF(ISBLANK('LL1 Parser Table'!AK30),"ERRO",'LL1 Parser Table'!AK30)</f>
        <v>ExpressaoSimples -&gt; Signal Termo ExpressaoSimplesNew</v>
      </c>
      <c r="AJ29" t="str">
        <f>IF(ISBLANK('LL1 Parser Table'!AL30),"ERRO",'LL1 Parser Table'!AL30)</f>
        <v>ExpressaoSimples -&gt; Signal Termo ExpressaoSimplesNew</v>
      </c>
      <c r="AK29" t="str">
        <f>IF(ISBLANK('LL1 Parser Table'!AM30),"ERRO",'LL1 Parser Table'!AM30)</f>
        <v>ERRO</v>
      </c>
      <c r="AL29" t="str">
        <f>IF(ISBLANK('LL1 Parser Table'!AN30),"ERRO",'LL1 Parser Table'!AN30)</f>
        <v>ERRO</v>
      </c>
      <c r="AM29" t="str">
        <f>IF(ISBLANK('LL1 Parser Table'!AO30),"ERRO",'LL1 Parser Table'!AO30)</f>
        <v>ERRO</v>
      </c>
      <c r="AN29" t="str">
        <f>IF(ISBLANK('LL1 Parser Table'!AP30),"ERRO",'LL1 Parser Table'!AP30)</f>
        <v>ExpressaoSimples -&gt; Signal Termo ExpressaoSimplesNew</v>
      </c>
      <c r="AO29" t="str">
        <f>IF(ISBLANK('LL1 Parser Table'!AQ30),"ERRO",'LL1 Parser Table'!AQ30)</f>
        <v>ExpressaoSimples -&gt; Signal Termo ExpressaoSimplesNew</v>
      </c>
      <c r="AP29" t="str">
        <f>IF(ISBLANK('LL1 Parser Table'!AR30),"ERRO",'LL1 Parser Table'!AR30)</f>
        <v>ExpressaoSimples -&gt; Signal Termo ExpressaoSimplesNew</v>
      </c>
      <c r="AQ29" t="str">
        <f>IF(ISBLANK('LL1 Parser Table'!AS30),"ERRO",'LL1 Parser Table'!AS30)</f>
        <v>ExpressaoSimples -&gt; Signal Termo ExpressaoSimplesNew</v>
      </c>
      <c r="AR29" t="str">
        <f>IF(ISBLANK('LL1 Parser Table'!AT30),"ERRO",'LL1 Parser Table'!AT30)</f>
        <v>ExpressaoSimples -&gt; Signal Termo ExpressaoSimplesNew</v>
      </c>
      <c r="AS29" t="str">
        <f>IF(ISBLANK('LL1 Parser Table'!AU30),"ERRO",'LL1 Parser Table'!AU30)</f>
        <v>ExpressaoSimples -&gt; Signal Termo ExpressaoSimplesNew</v>
      </c>
      <c r="AT29" t="str">
        <f>IF(ISBLANK('LL1 Parser Table'!AV30),"ERRO",'LL1 Parser Table'!AV30)</f>
        <v>ExpressaoSimples -&gt; Signal Termo ExpressaoSimplesNew</v>
      </c>
      <c r="AU29" t="str">
        <f>IF(ISBLANK('LL1 Parser Table'!AW30),"ERRO",'LL1 Parser Table'!AW30)</f>
        <v>ERRO</v>
      </c>
      <c r="AV29" t="str">
        <f>IF(ISBLANK('LL1 Parser Table'!AX30),"ERRO",'LL1 Parser Table'!AX30)</f>
        <v>ERRO</v>
      </c>
      <c r="AW29" t="str">
        <f>IF(ISBLANK('LL1 Parser Table'!AY30),"ERRO",'LL1 Parser Table'!AY30)</f>
        <v>ERRO</v>
      </c>
      <c r="AX29" t="str">
        <f>IF(ISBLANK('LL1 Parser Table'!AZ30),"ERRO",'LL1 Parser Table'!AZ30)</f>
        <v>ERRO</v>
      </c>
      <c r="AY29" t="str">
        <f>IF(ISBLANK('LL1 Parser Table'!BA30),"ERRO",'LL1 Parser Table'!BA30)</f>
        <v>ERRO</v>
      </c>
      <c r="AZ29" t="str">
        <f>IF(ISBLANK('LL1 Parser Table'!BB30),"ERRO",'LL1 Parser Table'!BB30)</f>
        <v>ExpressaoSimples -&gt; Signal Termo ExpressaoSimplesNew</v>
      </c>
      <c r="BA29" t="str">
        <f>IF(ISBLANK('LL1 Parser Table'!BC30),"ERRO",'LL1 Parser Table'!BC30)</f>
        <v>ExpressaoSimples -&gt; Signal Termo ExpressaoSimplesNew</v>
      </c>
      <c r="BB29" t="str">
        <f>IF(ISBLANK('LL1 Parser Table'!BD30),"ERRO",'LL1 Parser Table'!BD30)</f>
        <v>ExpressaoSimples -&gt; Signal Termo ExpressaoSimplesNew</v>
      </c>
      <c r="BC29" t="str">
        <f>IF(ISBLANK('LL1 Parser Table'!BE30),"ERRO",'LL1 Parser Table'!BE30)</f>
        <v>ExpressaoSimples -&gt; Signal Termo ExpressaoSimplesNew</v>
      </c>
      <c r="BD29" t="str">
        <f>IF(ISBLANK('LL1 Parser Table'!BF30),"ERRO",'LL1 Parser Table'!BF30)</f>
        <v>ExpressaoSimples -&gt; Signal Termo ExpressaoSimplesNew</v>
      </c>
      <c r="BE29" t="str">
        <f>IF(ISBLANK('LL1 Parser Table'!BG30),"ERRO",'LL1 Parser Table'!BG30)</f>
        <v>ERRO</v>
      </c>
    </row>
    <row r="30" spans="1:57" x14ac:dyDescent="0.35">
      <c r="A30">
        <v>29</v>
      </c>
      <c r="B30" s="8" t="str">
        <f>'LL1 Parser Table'!D31</f>
        <v>Signal</v>
      </c>
      <c r="C30" t="str">
        <f>IF(ISBLANK('LL1 Parser Table'!E31),"ERRO",'LL1 Parser Table'!E31)</f>
        <v>ERRO</v>
      </c>
      <c r="D30" t="str">
        <f>IF(ISBLANK('LL1 Parser Table'!F31),"ERRO",'LL1 Parser Table'!F31)</f>
        <v>Signal -&gt; ''</v>
      </c>
      <c r="E30" t="str">
        <f>IF(ISBLANK('LL1 Parser Table'!G31),"ERRO",'LL1 Parser Table'!G31)</f>
        <v>ERRO</v>
      </c>
      <c r="F30" t="str">
        <f>IF(ISBLANK('LL1 Parser Table'!H31),"ERRO",'LL1 Parser Table'!H31)</f>
        <v>ERRO</v>
      </c>
      <c r="G30" t="str">
        <f>IF(ISBLANK('LL1 Parser Table'!I31),"ERRO",'LL1 Parser Table'!I31)</f>
        <v>ERRO</v>
      </c>
      <c r="H30" t="str">
        <f>IF(ISBLANK('LL1 Parser Table'!J31),"ERRO",'LL1 Parser Table'!J31)</f>
        <v>ERRO</v>
      </c>
      <c r="I30" t="str">
        <f>IF(ISBLANK('LL1 Parser Table'!K31),"ERRO",'LL1 Parser Table'!K31)</f>
        <v>ERRO</v>
      </c>
      <c r="J30" t="str">
        <f>IF(ISBLANK('LL1 Parser Table'!L31),"ERRO",'LL1 Parser Table'!L31)</f>
        <v>Signal -&gt; ''</v>
      </c>
      <c r="K30" t="str">
        <f>IF(ISBLANK('LL1 Parser Table'!M31),"ERRO",'LL1 Parser Table'!M31)</f>
        <v>ERRO</v>
      </c>
      <c r="L30" t="str">
        <f>IF(ISBLANK('LL1 Parser Table'!N31),"ERRO",'LL1 Parser Table'!N31)</f>
        <v>ERRO</v>
      </c>
      <c r="M30" t="str">
        <f>IF(ISBLANK('LL1 Parser Table'!O31),"ERRO",'LL1 Parser Table'!O31)</f>
        <v>ERRO</v>
      </c>
      <c r="N30" t="str">
        <f>IF(ISBLANK('LL1 Parser Table'!P31),"ERRO",'LL1 Parser Table'!P31)</f>
        <v>ERRO</v>
      </c>
      <c r="O30" t="str">
        <f>IF(ISBLANK('LL1 Parser Table'!Q31),"ERRO",'LL1 Parser Table'!Q31)</f>
        <v>ERRO</v>
      </c>
      <c r="P30" t="str">
        <f>IF(ISBLANK('LL1 Parser Table'!R31),"ERRO",'LL1 Parser Table'!R31)</f>
        <v>ERRO</v>
      </c>
      <c r="Q30" t="str">
        <f>IF(ISBLANK('LL1 Parser Table'!S31),"ERRO",'LL1 Parser Table'!S31)</f>
        <v>ERRO</v>
      </c>
      <c r="R30" t="str">
        <f>IF(ISBLANK('LL1 Parser Table'!T31),"ERRO",'LL1 Parser Table'!T31)</f>
        <v>ERRO</v>
      </c>
      <c r="S30" t="str">
        <f>IF(ISBLANK('LL1 Parser Table'!U31),"ERRO",'LL1 Parser Table'!U31)</f>
        <v>ERRO</v>
      </c>
      <c r="T30" t="str">
        <f>IF(ISBLANK('LL1 Parser Table'!V31),"ERRO",'LL1 Parser Table'!V31)</f>
        <v>Signal -&gt; ''</v>
      </c>
      <c r="U30" t="str">
        <f>IF(ISBLANK('LL1 Parser Table'!W31),"ERRO",'LL1 Parser Table'!W31)</f>
        <v>ERRO</v>
      </c>
      <c r="V30" t="str">
        <f>IF(ISBLANK('LL1 Parser Table'!X31),"ERRO",'LL1 Parser Table'!X31)</f>
        <v>ERRO</v>
      </c>
      <c r="W30" t="str">
        <f>IF(ISBLANK('LL1 Parser Table'!Y31),"ERRO",'LL1 Parser Table'!Y31)</f>
        <v>ERRO</v>
      </c>
      <c r="X30" t="str">
        <f>IF(ISBLANK('LL1 Parser Table'!Z31),"ERRO",'LL1 Parser Table'!Z31)</f>
        <v>ERRO</v>
      </c>
      <c r="Y30" t="str">
        <f>IF(ISBLANK('LL1 Parser Table'!AA31),"ERRO",'LL1 Parser Table'!AA31)</f>
        <v>ERRO</v>
      </c>
      <c r="Z30" t="str">
        <f>IF(ISBLANK('LL1 Parser Table'!AB31),"ERRO",'LL1 Parser Table'!AB31)</f>
        <v>ERRO</v>
      </c>
      <c r="AA30" t="str">
        <f>IF(ISBLANK('LL1 Parser Table'!AC31),"ERRO",'LL1 Parser Table'!AC31)</f>
        <v>ERRO</v>
      </c>
      <c r="AB30" t="str">
        <f>IF(ISBLANK('LL1 Parser Table'!AD31),"ERRO",'LL1 Parser Table'!AD31)</f>
        <v>ERRO</v>
      </c>
      <c r="AC30" t="str">
        <f>IF(ISBLANK('LL1 Parser Table'!AE31),"ERRO",'LL1 Parser Table'!AE31)</f>
        <v>ERRO</v>
      </c>
      <c r="AD30" t="str">
        <f>IF(ISBLANK('LL1 Parser Table'!AF31),"ERRO",'LL1 Parser Table'!AF31)</f>
        <v>ERRO</v>
      </c>
      <c r="AE30" t="str">
        <f>IF(ISBLANK('LL1 Parser Table'!AG31),"ERRO",'LL1 Parser Table'!AG31)</f>
        <v>ERRO</v>
      </c>
      <c r="AF30" t="str">
        <f>IF(ISBLANK('LL1 Parser Table'!AH31),"ERRO",'LL1 Parser Table'!AH31)</f>
        <v>ERRO</v>
      </c>
      <c r="AG30" t="str">
        <f>IF(ISBLANK('LL1 Parser Table'!AI31),"ERRO",'LL1 Parser Table'!AI31)</f>
        <v>ERRO</v>
      </c>
      <c r="AH30" t="str">
        <f>IF(ISBLANK('LL1 Parser Table'!AJ31),"ERRO",'LL1 Parser Table'!AJ31)</f>
        <v>ERRO</v>
      </c>
      <c r="AI30" t="str">
        <f>IF(ISBLANK('LL1 Parser Table'!AK31),"ERRO",'LL1 Parser Table'!AK31)</f>
        <v>ERRO</v>
      </c>
      <c r="AJ30" t="str">
        <f>IF(ISBLANK('LL1 Parser Table'!AL31),"ERRO",'LL1 Parser Table'!AL31)</f>
        <v>ERRO</v>
      </c>
      <c r="AK30" t="str">
        <f>IF(ISBLANK('LL1 Parser Table'!AM31),"ERRO",'LL1 Parser Table'!AM31)</f>
        <v>ERRO</v>
      </c>
      <c r="AL30" t="str">
        <f>IF(ISBLANK('LL1 Parser Table'!AN31),"ERRO",'LL1 Parser Table'!AN31)</f>
        <v>ERRO</v>
      </c>
      <c r="AM30" t="str">
        <f>IF(ISBLANK('LL1 Parser Table'!AO31),"ERRO",'LL1 Parser Table'!AO31)</f>
        <v>ERRO</v>
      </c>
      <c r="AN30" t="str">
        <f>IF(ISBLANK('LL1 Parser Table'!AP31),"ERRO",'LL1 Parser Table'!AP31)</f>
        <v>ERRO</v>
      </c>
      <c r="AO30" t="str">
        <f>IF(ISBLANK('LL1 Parser Table'!AQ31),"ERRO",'LL1 Parser Table'!AQ31)</f>
        <v>ERRO</v>
      </c>
      <c r="AP30" t="str">
        <f>IF(ISBLANK('LL1 Parser Table'!AR31),"ERRO",'LL1 Parser Table'!AR31)</f>
        <v>ERRO</v>
      </c>
      <c r="AQ30" t="str">
        <f>IF(ISBLANK('LL1 Parser Table'!AS31),"ERRO",'LL1 Parser Table'!AS31)</f>
        <v>ERRO</v>
      </c>
      <c r="AR30" t="str">
        <f>IF(ISBLANK('LL1 Parser Table'!AT31),"ERRO",'LL1 Parser Table'!AT31)</f>
        <v>ERRO</v>
      </c>
      <c r="AS30" t="str">
        <f>IF(ISBLANK('LL1 Parser Table'!AU31),"ERRO",'LL1 Parser Table'!AU31)</f>
        <v>Signal -&gt; +</v>
      </c>
      <c r="AT30" t="str">
        <f>IF(ISBLANK('LL1 Parser Table'!AV31),"ERRO",'LL1 Parser Table'!AV31)</f>
        <v>Signal -&gt; -</v>
      </c>
      <c r="AU30" t="str">
        <f>IF(ISBLANK('LL1 Parser Table'!AW31),"ERRO",'LL1 Parser Table'!AW31)</f>
        <v>ERRO</v>
      </c>
      <c r="AV30" t="str">
        <f>IF(ISBLANK('LL1 Parser Table'!AX31),"ERRO",'LL1 Parser Table'!AX31)</f>
        <v>ERRO</v>
      </c>
      <c r="AW30" t="str">
        <f>IF(ISBLANK('LL1 Parser Table'!AY31),"ERRO",'LL1 Parser Table'!AY31)</f>
        <v>ERRO</v>
      </c>
      <c r="AX30" t="str">
        <f>IF(ISBLANK('LL1 Parser Table'!AZ31),"ERRO",'LL1 Parser Table'!AZ31)</f>
        <v>ERRO</v>
      </c>
      <c r="AY30" t="str">
        <f>IF(ISBLANK('LL1 Parser Table'!BA31),"ERRO",'LL1 Parser Table'!BA31)</f>
        <v>ERRO</v>
      </c>
      <c r="AZ30" t="str">
        <f>IF(ISBLANK('LL1 Parser Table'!BB31),"ERRO",'LL1 Parser Table'!BB31)</f>
        <v>Signal -&gt; ''</v>
      </c>
      <c r="BA30" t="str">
        <f>IF(ISBLANK('LL1 Parser Table'!BC31),"ERRO",'LL1 Parser Table'!BC31)</f>
        <v>Signal -&gt; ''</v>
      </c>
      <c r="BB30" t="str">
        <f>IF(ISBLANK('LL1 Parser Table'!BD31),"ERRO",'LL1 Parser Table'!BD31)</f>
        <v>Signal -&gt; ''</v>
      </c>
      <c r="BC30" t="str">
        <f>IF(ISBLANK('LL1 Parser Table'!BE31),"ERRO",'LL1 Parser Table'!BE31)</f>
        <v>Signal -&gt; ''</v>
      </c>
      <c r="BD30" t="str">
        <f>IF(ISBLANK('LL1 Parser Table'!BF31),"ERRO",'LL1 Parser Table'!BF31)</f>
        <v>Signal -&gt; ''</v>
      </c>
      <c r="BE30" t="str">
        <f>IF(ISBLANK('LL1 Parser Table'!BG31),"ERRO",'LL1 Parser Table'!BG31)</f>
        <v>ERRO</v>
      </c>
    </row>
    <row r="31" spans="1:57" x14ac:dyDescent="0.35">
      <c r="A31">
        <v>30</v>
      </c>
      <c r="B31" s="8" t="str">
        <f>'LL1 Parser Table'!D32</f>
        <v>ExpressaoSimplesNew</v>
      </c>
      <c r="C31" t="str">
        <f>IF(ISBLANK('LL1 Parser Table'!E32),"ERRO",'LL1 Parser Table'!E32)</f>
        <v>ERRO</v>
      </c>
      <c r="D31" t="str">
        <f>IF(ISBLANK('LL1 Parser Table'!F32),"ERRO",'LL1 Parser Table'!F32)</f>
        <v>ERRO</v>
      </c>
      <c r="E31" t="str">
        <f>IF(ISBLANK('LL1 Parser Table'!G32),"ERRO",'LL1 Parser Table'!G32)</f>
        <v>ExpressaoSimplesNew -&gt; ''</v>
      </c>
      <c r="F31" t="str">
        <f>IF(ISBLANK('LL1 Parser Table'!H32),"ERRO",'LL1 Parser Table'!H32)</f>
        <v>ERRO</v>
      </c>
      <c r="G31" t="str">
        <f>IF(ISBLANK('LL1 Parser Table'!I32),"ERRO",'LL1 Parser Table'!I32)</f>
        <v>ERRO</v>
      </c>
      <c r="H31" t="str">
        <f>IF(ISBLANK('LL1 Parser Table'!J32),"ERRO",'LL1 Parser Table'!J32)</f>
        <v>ERRO</v>
      </c>
      <c r="I31" t="str">
        <f>IF(ISBLANK('LL1 Parser Table'!K32),"ERRO",'LL1 Parser Table'!K32)</f>
        <v>ERRO</v>
      </c>
      <c r="J31" t="str">
        <f>IF(ISBLANK('LL1 Parser Table'!L32),"ERRO",'LL1 Parser Table'!L32)</f>
        <v>ERRO</v>
      </c>
      <c r="K31" t="str">
        <f>IF(ISBLANK('LL1 Parser Table'!M32),"ERRO",'LL1 Parser Table'!M32)</f>
        <v>ExpressaoSimplesNew -&gt; ''</v>
      </c>
      <c r="L31" t="str">
        <f>IF(ISBLANK('LL1 Parser Table'!N32),"ERRO",'LL1 Parser Table'!N32)</f>
        <v>ERRO</v>
      </c>
      <c r="M31" t="str">
        <f>IF(ISBLANK('LL1 Parser Table'!O32),"ERRO",'LL1 Parser Table'!O32)</f>
        <v>ERRO</v>
      </c>
      <c r="N31" t="str">
        <f>IF(ISBLANK('LL1 Parser Table'!P32),"ERRO",'LL1 Parser Table'!P32)</f>
        <v>ExpressaoSimplesNew -&gt; ''</v>
      </c>
      <c r="O31" t="str">
        <f>IF(ISBLANK('LL1 Parser Table'!Q32),"ERRO",'LL1 Parser Table'!Q32)</f>
        <v>ERRO</v>
      </c>
      <c r="P31" t="str">
        <f>IF(ISBLANK('LL1 Parser Table'!R32),"ERRO",'LL1 Parser Table'!R32)</f>
        <v>ExpressaoSimplesNew -&gt; ''</v>
      </c>
      <c r="Q31" t="str">
        <f>IF(ISBLANK('LL1 Parser Table'!S32),"ERRO",'LL1 Parser Table'!S32)</f>
        <v>ExpressaoSimplesNew -&gt; ''</v>
      </c>
      <c r="R31" t="str">
        <f>IF(ISBLANK('LL1 Parser Table'!T32),"ERRO",'LL1 Parser Table'!T32)</f>
        <v>ERRO</v>
      </c>
      <c r="S31" t="str">
        <f>IF(ISBLANK('LL1 Parser Table'!U32),"ERRO",'LL1 Parser Table'!U32)</f>
        <v>ERRO</v>
      </c>
      <c r="T31" t="str">
        <f>IF(ISBLANK('LL1 Parser Table'!V32),"ERRO",'LL1 Parser Table'!V32)</f>
        <v>ERRO</v>
      </c>
      <c r="U31" t="str">
        <f>IF(ISBLANK('LL1 Parser Table'!W32),"ERRO",'LL1 Parser Table'!W32)</f>
        <v>ERRO</v>
      </c>
      <c r="V31" t="str">
        <f>IF(ISBLANK('LL1 Parser Table'!X32),"ERRO",'LL1 Parser Table'!X32)</f>
        <v>ERRO</v>
      </c>
      <c r="W31" t="str">
        <f>IF(ISBLANK('LL1 Parser Table'!Y32),"ERRO",'LL1 Parser Table'!Y32)</f>
        <v>ERRO</v>
      </c>
      <c r="X31" t="str">
        <f>IF(ISBLANK('LL1 Parser Table'!Z32),"ERRO",'LL1 Parser Table'!Z32)</f>
        <v>ERRO</v>
      </c>
      <c r="Y31" t="str">
        <f>IF(ISBLANK('LL1 Parser Table'!AA32),"ERRO",'LL1 Parser Table'!AA32)</f>
        <v>ERRO</v>
      </c>
      <c r="Z31" t="str">
        <f>IF(ISBLANK('LL1 Parser Table'!AB32),"ERRO",'LL1 Parser Table'!AB32)</f>
        <v>ERRO</v>
      </c>
      <c r="AA31" t="str">
        <f>IF(ISBLANK('LL1 Parser Table'!AC32),"ERRO",'LL1 Parser Table'!AC32)</f>
        <v>ERRO</v>
      </c>
      <c r="AB31" t="str">
        <f>IF(ISBLANK('LL1 Parser Table'!AD32),"ERRO",'LL1 Parser Table'!AD32)</f>
        <v>ERRO</v>
      </c>
      <c r="AC31" t="str">
        <f>IF(ISBLANK('LL1 Parser Table'!AE32),"ERRO",'LL1 Parser Table'!AE32)</f>
        <v>ExpressaoSimplesNew -&gt; ''</v>
      </c>
      <c r="AD31" t="str">
        <f>IF(ISBLANK('LL1 Parser Table'!AF32),"ERRO",'LL1 Parser Table'!AF32)</f>
        <v>ERRO</v>
      </c>
      <c r="AE31" t="str">
        <f>IF(ISBLANK('LL1 Parser Table'!AG32),"ERRO",'LL1 Parser Table'!AG32)</f>
        <v>ERRO</v>
      </c>
      <c r="AF31" t="str">
        <f>IF(ISBLANK('LL1 Parser Table'!AH32),"ERRO",'LL1 Parser Table'!AH32)</f>
        <v>ExpressaoSimplesNew -&gt; ''</v>
      </c>
      <c r="AG31" t="str">
        <f>IF(ISBLANK('LL1 Parser Table'!AI32),"ERRO",'LL1 Parser Table'!AI32)</f>
        <v>ERRO</v>
      </c>
      <c r="AH31" t="str">
        <f>IF(ISBLANK('LL1 Parser Table'!AJ32),"ERRO",'LL1 Parser Table'!AJ32)</f>
        <v>ERRO</v>
      </c>
      <c r="AI31" t="str">
        <f>IF(ISBLANK('LL1 Parser Table'!AK32),"ERRO",'LL1 Parser Table'!AK32)</f>
        <v>ExpressaoSimplesNew -&gt; ''</v>
      </c>
      <c r="AJ31" t="str">
        <f>IF(ISBLANK('LL1 Parser Table'!AL32),"ERRO",'LL1 Parser Table'!AL32)</f>
        <v>ExpressaoSimplesNew -&gt; ''</v>
      </c>
      <c r="AK31" t="str">
        <f>IF(ISBLANK('LL1 Parser Table'!AM32),"ERRO",'LL1 Parser Table'!AM32)</f>
        <v>ERRO</v>
      </c>
      <c r="AL31" t="str">
        <f>IF(ISBLANK('LL1 Parser Table'!AN32),"ERRO",'LL1 Parser Table'!AN32)</f>
        <v>ERRO</v>
      </c>
      <c r="AM31" t="str">
        <f>IF(ISBLANK('LL1 Parser Table'!AO32),"ERRO",'LL1 Parser Table'!AO32)</f>
        <v>ERRO</v>
      </c>
      <c r="AN31" t="str">
        <f>IF(ISBLANK('LL1 Parser Table'!AP32),"ERRO",'LL1 Parser Table'!AP32)</f>
        <v>ExpressaoSimplesNew -&gt; ''</v>
      </c>
      <c r="AO31" t="str">
        <f>IF(ISBLANK('LL1 Parser Table'!AQ32),"ERRO",'LL1 Parser Table'!AQ32)</f>
        <v>ExpressaoSimplesNew -&gt; ''</v>
      </c>
      <c r="AP31" t="str">
        <f>IF(ISBLANK('LL1 Parser Table'!AR32),"ERRO",'LL1 Parser Table'!AR32)</f>
        <v>ExpressaoSimplesNew -&gt; ''</v>
      </c>
      <c r="AQ31" t="str">
        <f>IF(ISBLANK('LL1 Parser Table'!AS32),"ERRO",'LL1 Parser Table'!AS32)</f>
        <v>ExpressaoSimplesNew -&gt; ''</v>
      </c>
      <c r="AR31" t="str">
        <f>IF(ISBLANK('LL1 Parser Table'!AT32),"ERRO",'LL1 Parser Table'!AT32)</f>
        <v>ExpressaoSimplesNew -&gt; ''</v>
      </c>
      <c r="AS31" t="str">
        <f>IF(ISBLANK('LL1 Parser Table'!AU32),"ERRO",'LL1 Parser Table'!AU32)</f>
        <v>ExpressaoSimplesNew -&gt; + Termo ExpressaoSimplesNew</v>
      </c>
      <c r="AT31" t="str">
        <f>IF(ISBLANK('LL1 Parser Table'!AV32),"ERRO",'LL1 Parser Table'!AV32)</f>
        <v>ExpressaoSimplesNew -&gt; - Termo ExpressaoSimplesNew</v>
      </c>
      <c r="AU31" t="str">
        <f>IF(ISBLANK('LL1 Parser Table'!AW32),"ERRO",'LL1 Parser Table'!AW32)</f>
        <v>ExpressaoSimplesNew -&gt; ou Termo ExpressaoSimplesNew</v>
      </c>
      <c r="AV31" t="str">
        <f>IF(ISBLANK('LL1 Parser Table'!AX32),"ERRO",'LL1 Parser Table'!AX32)</f>
        <v>ERRO</v>
      </c>
      <c r="AW31" t="str">
        <f>IF(ISBLANK('LL1 Parser Table'!AY32),"ERRO",'LL1 Parser Table'!AY32)</f>
        <v>ERRO</v>
      </c>
      <c r="AX31" t="str">
        <f>IF(ISBLANK('LL1 Parser Table'!AZ32),"ERRO",'LL1 Parser Table'!AZ32)</f>
        <v>ERRO</v>
      </c>
      <c r="AY31" t="str">
        <f>IF(ISBLANK('LL1 Parser Table'!BA32),"ERRO",'LL1 Parser Table'!BA32)</f>
        <v>ERRO</v>
      </c>
      <c r="AZ31" t="str">
        <f>IF(ISBLANK('LL1 Parser Table'!BB32),"ERRO",'LL1 Parser Table'!BB32)</f>
        <v>ERRO</v>
      </c>
      <c r="BA31" t="str">
        <f>IF(ISBLANK('LL1 Parser Table'!BC32),"ERRO",'LL1 Parser Table'!BC32)</f>
        <v>ERRO</v>
      </c>
      <c r="BB31" t="str">
        <f>IF(ISBLANK('LL1 Parser Table'!BD32),"ERRO",'LL1 Parser Table'!BD32)</f>
        <v>ERRO</v>
      </c>
      <c r="BC31" t="str">
        <f>IF(ISBLANK('LL1 Parser Table'!BE32),"ERRO",'LL1 Parser Table'!BE32)</f>
        <v>ERRO</v>
      </c>
      <c r="BD31" t="str">
        <f>IF(ISBLANK('LL1 Parser Table'!BF32),"ERRO",'LL1 Parser Table'!BF32)</f>
        <v>ERRO</v>
      </c>
      <c r="BE31" t="str">
        <f>IF(ISBLANK('LL1 Parser Table'!BG32),"ERRO",'LL1 Parser Table'!BG32)</f>
        <v>ERRO</v>
      </c>
    </row>
    <row r="32" spans="1:57" x14ac:dyDescent="0.35">
      <c r="A32">
        <v>31</v>
      </c>
      <c r="B32" s="8" t="str">
        <f>'LL1 Parser Table'!D33</f>
        <v>Termo</v>
      </c>
      <c r="C32" t="str">
        <f>IF(ISBLANK('LL1 Parser Table'!E33),"ERRO",'LL1 Parser Table'!E33)</f>
        <v>ERRO</v>
      </c>
      <c r="D32" t="str">
        <f>IF(ISBLANK('LL1 Parser Table'!F33),"ERRO",'LL1 Parser Table'!F33)</f>
        <v>Termo -&gt; Fator TermoNew</v>
      </c>
      <c r="E32" t="str">
        <f>IF(ISBLANK('LL1 Parser Table'!G33),"ERRO",'LL1 Parser Table'!G33)</f>
        <v>ERRO</v>
      </c>
      <c r="F32" t="str">
        <f>IF(ISBLANK('LL1 Parser Table'!H33),"ERRO",'LL1 Parser Table'!H33)</f>
        <v>ERRO</v>
      </c>
      <c r="G32" t="str">
        <f>IF(ISBLANK('LL1 Parser Table'!I33),"ERRO",'LL1 Parser Table'!I33)</f>
        <v>ERRO</v>
      </c>
      <c r="H32" t="str">
        <f>IF(ISBLANK('LL1 Parser Table'!J33),"ERRO",'LL1 Parser Table'!J33)</f>
        <v>ERRO</v>
      </c>
      <c r="I32" t="str">
        <f>IF(ISBLANK('LL1 Parser Table'!K33),"ERRO",'LL1 Parser Table'!K33)</f>
        <v>ERRO</v>
      </c>
      <c r="J32" t="str">
        <f>IF(ISBLANK('LL1 Parser Table'!L33),"ERRO",'LL1 Parser Table'!L33)</f>
        <v>Termo -&gt; Fator TermoNew</v>
      </c>
      <c r="K32" t="str">
        <f>IF(ISBLANK('LL1 Parser Table'!M33),"ERRO",'LL1 Parser Table'!M33)</f>
        <v>ERRO</v>
      </c>
      <c r="L32" t="str">
        <f>IF(ISBLANK('LL1 Parser Table'!N33),"ERRO",'LL1 Parser Table'!N33)</f>
        <v>ERRO</v>
      </c>
      <c r="M32" t="str">
        <f>IF(ISBLANK('LL1 Parser Table'!O33),"ERRO",'LL1 Parser Table'!O33)</f>
        <v>ERRO</v>
      </c>
      <c r="N32" t="str">
        <f>IF(ISBLANK('LL1 Parser Table'!P33),"ERRO",'LL1 Parser Table'!P33)</f>
        <v>ERRO</v>
      </c>
      <c r="O32" t="str">
        <f>IF(ISBLANK('LL1 Parser Table'!Q33),"ERRO",'LL1 Parser Table'!Q33)</f>
        <v>ERRO</v>
      </c>
      <c r="P32" t="str">
        <f>IF(ISBLANK('LL1 Parser Table'!R33),"ERRO",'LL1 Parser Table'!R33)</f>
        <v>ERRO</v>
      </c>
      <c r="Q32" t="str">
        <f>IF(ISBLANK('LL1 Parser Table'!S33),"ERRO",'LL1 Parser Table'!S33)</f>
        <v>ERRO</v>
      </c>
      <c r="R32" t="str">
        <f>IF(ISBLANK('LL1 Parser Table'!T33),"ERRO",'LL1 Parser Table'!T33)</f>
        <v>ERRO</v>
      </c>
      <c r="S32" t="str">
        <f>IF(ISBLANK('LL1 Parser Table'!U33),"ERRO",'LL1 Parser Table'!U33)</f>
        <v>ERRO</v>
      </c>
      <c r="T32" t="str">
        <f>IF(ISBLANK('LL1 Parser Table'!V33),"ERRO",'LL1 Parser Table'!V33)</f>
        <v>Termo -&gt; Fator TermoNew</v>
      </c>
      <c r="U32" t="str">
        <f>IF(ISBLANK('LL1 Parser Table'!W33),"ERRO",'LL1 Parser Table'!W33)</f>
        <v>ERRO</v>
      </c>
      <c r="V32" t="str">
        <f>IF(ISBLANK('LL1 Parser Table'!X33),"ERRO",'LL1 Parser Table'!X33)</f>
        <v>ERRO</v>
      </c>
      <c r="W32" t="str">
        <f>IF(ISBLANK('LL1 Parser Table'!Y33),"ERRO",'LL1 Parser Table'!Y33)</f>
        <v>ERRO</v>
      </c>
      <c r="X32" t="str">
        <f>IF(ISBLANK('LL1 Parser Table'!Z33),"ERRO",'LL1 Parser Table'!Z33)</f>
        <v>ERRO</v>
      </c>
      <c r="Y32" t="str">
        <f>IF(ISBLANK('LL1 Parser Table'!AA33),"ERRO",'LL1 Parser Table'!AA33)</f>
        <v>ERRO</v>
      </c>
      <c r="Z32" t="str">
        <f>IF(ISBLANK('LL1 Parser Table'!AB33),"ERRO",'LL1 Parser Table'!AB33)</f>
        <v>ERRO</v>
      </c>
      <c r="AA32" t="str">
        <f>IF(ISBLANK('LL1 Parser Table'!AC33),"ERRO",'LL1 Parser Table'!AC33)</f>
        <v>ERRO</v>
      </c>
      <c r="AB32" t="str">
        <f>IF(ISBLANK('LL1 Parser Table'!AD33),"ERRO",'LL1 Parser Table'!AD33)</f>
        <v>ERRO</v>
      </c>
      <c r="AC32" t="str">
        <f>IF(ISBLANK('LL1 Parser Table'!AE33),"ERRO",'LL1 Parser Table'!AE33)</f>
        <v>ERRO</v>
      </c>
      <c r="AD32" t="str">
        <f>IF(ISBLANK('LL1 Parser Table'!AF33),"ERRO",'LL1 Parser Table'!AF33)</f>
        <v>ERRO</v>
      </c>
      <c r="AE32" t="str">
        <f>IF(ISBLANK('LL1 Parser Table'!AG33),"ERRO",'LL1 Parser Table'!AG33)</f>
        <v>ERRO</v>
      </c>
      <c r="AF32" t="str">
        <f>IF(ISBLANK('LL1 Parser Table'!AH33),"ERRO",'LL1 Parser Table'!AH33)</f>
        <v>ERRO</v>
      </c>
      <c r="AG32" t="str">
        <f>IF(ISBLANK('LL1 Parser Table'!AI33),"ERRO",'LL1 Parser Table'!AI33)</f>
        <v>ERRO</v>
      </c>
      <c r="AH32" t="str">
        <f>IF(ISBLANK('LL1 Parser Table'!AJ33),"ERRO",'LL1 Parser Table'!AJ33)</f>
        <v>ERRO</v>
      </c>
      <c r="AI32" t="str">
        <f>IF(ISBLANK('LL1 Parser Table'!AK33),"ERRO",'LL1 Parser Table'!AK33)</f>
        <v>ERRO</v>
      </c>
      <c r="AJ32" t="str">
        <f>IF(ISBLANK('LL1 Parser Table'!AL33),"ERRO",'LL1 Parser Table'!AL33)</f>
        <v>ERRO</v>
      </c>
      <c r="AK32" t="str">
        <f>IF(ISBLANK('LL1 Parser Table'!AM33),"ERRO",'LL1 Parser Table'!AM33)</f>
        <v>ERRO</v>
      </c>
      <c r="AL32" t="str">
        <f>IF(ISBLANK('LL1 Parser Table'!AN33),"ERRO",'LL1 Parser Table'!AN33)</f>
        <v>ERRO</v>
      </c>
      <c r="AM32" t="str">
        <f>IF(ISBLANK('LL1 Parser Table'!AO33),"ERRO",'LL1 Parser Table'!AO33)</f>
        <v>ERRO</v>
      </c>
      <c r="AN32" t="str">
        <f>IF(ISBLANK('LL1 Parser Table'!AP33),"ERRO",'LL1 Parser Table'!AP33)</f>
        <v>ERRO</v>
      </c>
      <c r="AO32" t="str">
        <f>IF(ISBLANK('LL1 Parser Table'!AQ33),"ERRO",'LL1 Parser Table'!AQ33)</f>
        <v>ERRO</v>
      </c>
      <c r="AP32" t="str">
        <f>IF(ISBLANK('LL1 Parser Table'!AR33),"ERRO",'LL1 Parser Table'!AR33)</f>
        <v>ERRO</v>
      </c>
      <c r="AQ32" t="str">
        <f>IF(ISBLANK('LL1 Parser Table'!AS33),"ERRO",'LL1 Parser Table'!AS33)</f>
        <v>ERRO</v>
      </c>
      <c r="AR32" t="str">
        <f>IF(ISBLANK('LL1 Parser Table'!AT33),"ERRO",'LL1 Parser Table'!AT33)</f>
        <v>ERRO</v>
      </c>
      <c r="AS32" t="str">
        <f>IF(ISBLANK('LL1 Parser Table'!AU33),"ERRO",'LL1 Parser Table'!AU33)</f>
        <v>ERRO</v>
      </c>
      <c r="AT32" t="str">
        <f>IF(ISBLANK('LL1 Parser Table'!AV33),"ERRO",'LL1 Parser Table'!AV33)</f>
        <v>ERRO</v>
      </c>
      <c r="AU32" t="str">
        <f>IF(ISBLANK('LL1 Parser Table'!AW33),"ERRO",'LL1 Parser Table'!AW33)</f>
        <v>ERRO</v>
      </c>
      <c r="AV32" t="str">
        <f>IF(ISBLANK('LL1 Parser Table'!AX33),"ERRO",'LL1 Parser Table'!AX33)</f>
        <v>ERRO</v>
      </c>
      <c r="AW32" t="str">
        <f>IF(ISBLANK('LL1 Parser Table'!AY33),"ERRO",'LL1 Parser Table'!AY33)</f>
        <v>ERRO</v>
      </c>
      <c r="AX32" t="str">
        <f>IF(ISBLANK('LL1 Parser Table'!AZ33),"ERRO",'LL1 Parser Table'!AZ33)</f>
        <v>ERRO</v>
      </c>
      <c r="AY32" t="str">
        <f>IF(ISBLANK('LL1 Parser Table'!BA33),"ERRO",'LL1 Parser Table'!BA33)</f>
        <v>ERRO</v>
      </c>
      <c r="AZ32" t="str">
        <f>IF(ISBLANK('LL1 Parser Table'!BB33),"ERRO",'LL1 Parser Table'!BB33)</f>
        <v>Termo -&gt; Fator TermoNew</v>
      </c>
      <c r="BA32" t="str">
        <f>IF(ISBLANK('LL1 Parser Table'!BC33),"ERRO",'LL1 Parser Table'!BC33)</f>
        <v>Termo -&gt; Fator TermoNew</v>
      </c>
      <c r="BB32" t="str">
        <f>IF(ISBLANK('LL1 Parser Table'!BD33),"ERRO",'LL1 Parser Table'!BD33)</f>
        <v>Termo -&gt; Fator TermoNew</v>
      </c>
      <c r="BC32" t="str">
        <f>IF(ISBLANK('LL1 Parser Table'!BE33),"ERRO",'LL1 Parser Table'!BE33)</f>
        <v>Termo -&gt; Fator TermoNew</v>
      </c>
      <c r="BD32" t="str">
        <f>IF(ISBLANK('LL1 Parser Table'!BF33),"ERRO",'LL1 Parser Table'!BF33)</f>
        <v>Termo -&gt; Fator TermoNew</v>
      </c>
      <c r="BE32" t="str">
        <f>IF(ISBLANK('LL1 Parser Table'!BG33),"ERRO",'LL1 Parser Table'!BG33)</f>
        <v>ERRO</v>
      </c>
    </row>
    <row r="33" spans="1:57" x14ac:dyDescent="0.35">
      <c r="A33">
        <v>32</v>
      </c>
      <c r="B33" s="8" t="str">
        <f>'LL1 Parser Table'!D34</f>
        <v>TermoNew</v>
      </c>
      <c r="C33" t="str">
        <f>IF(ISBLANK('LL1 Parser Table'!E34),"ERRO",'LL1 Parser Table'!E34)</f>
        <v>ERRO</v>
      </c>
      <c r="D33" t="str">
        <f>IF(ISBLANK('LL1 Parser Table'!F34),"ERRO",'LL1 Parser Table'!F34)</f>
        <v>ERRO</v>
      </c>
      <c r="E33" t="str">
        <f>IF(ISBLANK('LL1 Parser Table'!G34),"ERRO",'LL1 Parser Table'!G34)</f>
        <v>TermoNew -&gt; ''</v>
      </c>
      <c r="F33" t="str">
        <f>IF(ISBLANK('LL1 Parser Table'!H34),"ERRO",'LL1 Parser Table'!H34)</f>
        <v>ERRO</v>
      </c>
      <c r="G33" t="str">
        <f>IF(ISBLANK('LL1 Parser Table'!I34),"ERRO",'LL1 Parser Table'!I34)</f>
        <v>ERRO</v>
      </c>
      <c r="H33" t="str">
        <f>IF(ISBLANK('LL1 Parser Table'!J34),"ERRO",'LL1 Parser Table'!J34)</f>
        <v>ERRO</v>
      </c>
      <c r="I33" t="str">
        <f>IF(ISBLANK('LL1 Parser Table'!K34),"ERRO",'LL1 Parser Table'!K34)</f>
        <v>ERRO</v>
      </c>
      <c r="J33" t="str">
        <f>IF(ISBLANK('LL1 Parser Table'!L34),"ERRO",'LL1 Parser Table'!L34)</f>
        <v>ERRO</v>
      </c>
      <c r="K33" t="str">
        <f>IF(ISBLANK('LL1 Parser Table'!M34),"ERRO",'LL1 Parser Table'!M34)</f>
        <v>TermoNew -&gt; ''</v>
      </c>
      <c r="L33" t="str">
        <f>IF(ISBLANK('LL1 Parser Table'!N34),"ERRO",'LL1 Parser Table'!N34)</f>
        <v>ERRO</v>
      </c>
      <c r="M33" t="str">
        <f>IF(ISBLANK('LL1 Parser Table'!O34),"ERRO",'LL1 Parser Table'!O34)</f>
        <v>ERRO</v>
      </c>
      <c r="N33" t="str">
        <f>IF(ISBLANK('LL1 Parser Table'!P34),"ERRO",'LL1 Parser Table'!P34)</f>
        <v>TermoNew -&gt; ''</v>
      </c>
      <c r="O33" t="str">
        <f>IF(ISBLANK('LL1 Parser Table'!Q34),"ERRO",'LL1 Parser Table'!Q34)</f>
        <v>ERRO</v>
      </c>
      <c r="P33" t="str">
        <f>IF(ISBLANK('LL1 Parser Table'!R34),"ERRO",'LL1 Parser Table'!R34)</f>
        <v>TermoNew -&gt; ''</v>
      </c>
      <c r="Q33" t="str">
        <f>IF(ISBLANK('LL1 Parser Table'!S34),"ERRO",'LL1 Parser Table'!S34)</f>
        <v>TermoNew -&gt; ''</v>
      </c>
      <c r="R33" t="str">
        <f>IF(ISBLANK('LL1 Parser Table'!T34),"ERRO",'LL1 Parser Table'!T34)</f>
        <v>ERRO</v>
      </c>
      <c r="S33" t="str">
        <f>IF(ISBLANK('LL1 Parser Table'!U34),"ERRO",'LL1 Parser Table'!U34)</f>
        <v>ERRO</v>
      </c>
      <c r="T33" t="str">
        <f>IF(ISBLANK('LL1 Parser Table'!V34),"ERRO",'LL1 Parser Table'!V34)</f>
        <v>ERRO</v>
      </c>
      <c r="U33" t="str">
        <f>IF(ISBLANK('LL1 Parser Table'!W34),"ERRO",'LL1 Parser Table'!W34)</f>
        <v>ERRO</v>
      </c>
      <c r="V33" t="str">
        <f>IF(ISBLANK('LL1 Parser Table'!X34),"ERRO",'LL1 Parser Table'!X34)</f>
        <v>ERRO</v>
      </c>
      <c r="W33" t="str">
        <f>IF(ISBLANK('LL1 Parser Table'!Y34),"ERRO",'LL1 Parser Table'!Y34)</f>
        <v>ERRO</v>
      </c>
      <c r="X33" t="str">
        <f>IF(ISBLANK('LL1 Parser Table'!Z34),"ERRO",'LL1 Parser Table'!Z34)</f>
        <v>ERRO</v>
      </c>
      <c r="Y33" t="str">
        <f>IF(ISBLANK('LL1 Parser Table'!AA34),"ERRO",'LL1 Parser Table'!AA34)</f>
        <v>ERRO</v>
      </c>
      <c r="Z33" t="str">
        <f>IF(ISBLANK('LL1 Parser Table'!AB34),"ERRO",'LL1 Parser Table'!AB34)</f>
        <v>ERRO</v>
      </c>
      <c r="AA33" t="str">
        <f>IF(ISBLANK('LL1 Parser Table'!AC34),"ERRO",'LL1 Parser Table'!AC34)</f>
        <v>ERRO</v>
      </c>
      <c r="AB33" t="str">
        <f>IF(ISBLANK('LL1 Parser Table'!AD34),"ERRO",'LL1 Parser Table'!AD34)</f>
        <v>ERRO</v>
      </c>
      <c r="AC33" t="str">
        <f>IF(ISBLANK('LL1 Parser Table'!AE34),"ERRO",'LL1 Parser Table'!AE34)</f>
        <v>TermoNew -&gt; ''</v>
      </c>
      <c r="AD33" t="str">
        <f>IF(ISBLANK('LL1 Parser Table'!AF34),"ERRO",'LL1 Parser Table'!AF34)</f>
        <v>ERRO</v>
      </c>
      <c r="AE33" t="str">
        <f>IF(ISBLANK('LL1 Parser Table'!AG34),"ERRO",'LL1 Parser Table'!AG34)</f>
        <v>ERRO</v>
      </c>
      <c r="AF33" t="str">
        <f>IF(ISBLANK('LL1 Parser Table'!AH34),"ERRO",'LL1 Parser Table'!AH34)</f>
        <v>TermoNew -&gt; ''</v>
      </c>
      <c r="AG33" t="str">
        <f>IF(ISBLANK('LL1 Parser Table'!AI34),"ERRO",'LL1 Parser Table'!AI34)</f>
        <v>ERRO</v>
      </c>
      <c r="AH33" t="str">
        <f>IF(ISBLANK('LL1 Parser Table'!AJ34),"ERRO",'LL1 Parser Table'!AJ34)</f>
        <v>ERRO</v>
      </c>
      <c r="AI33" t="str">
        <f>IF(ISBLANK('LL1 Parser Table'!AK34),"ERRO",'LL1 Parser Table'!AK34)</f>
        <v>TermoNew -&gt; ''</v>
      </c>
      <c r="AJ33" t="str">
        <f>IF(ISBLANK('LL1 Parser Table'!AL34),"ERRO",'LL1 Parser Table'!AL34)</f>
        <v>TermoNew -&gt; ''</v>
      </c>
      <c r="AK33" t="str">
        <f>IF(ISBLANK('LL1 Parser Table'!AM34),"ERRO",'LL1 Parser Table'!AM34)</f>
        <v>ERRO</v>
      </c>
      <c r="AL33" t="str">
        <f>IF(ISBLANK('LL1 Parser Table'!AN34),"ERRO",'LL1 Parser Table'!AN34)</f>
        <v>ERRO</v>
      </c>
      <c r="AM33" t="str">
        <f>IF(ISBLANK('LL1 Parser Table'!AO34),"ERRO",'LL1 Parser Table'!AO34)</f>
        <v>ERRO</v>
      </c>
      <c r="AN33" t="str">
        <f>IF(ISBLANK('LL1 Parser Table'!AP34),"ERRO",'LL1 Parser Table'!AP34)</f>
        <v>TermoNew -&gt; ''</v>
      </c>
      <c r="AO33" t="str">
        <f>IF(ISBLANK('LL1 Parser Table'!AQ34),"ERRO",'LL1 Parser Table'!AQ34)</f>
        <v>TermoNew -&gt; ''</v>
      </c>
      <c r="AP33" t="str">
        <f>IF(ISBLANK('LL1 Parser Table'!AR34),"ERRO",'LL1 Parser Table'!AR34)</f>
        <v>TermoNew -&gt; ''</v>
      </c>
      <c r="AQ33" t="str">
        <f>IF(ISBLANK('LL1 Parser Table'!AS34),"ERRO",'LL1 Parser Table'!AS34)</f>
        <v>TermoNew -&gt; ''</v>
      </c>
      <c r="AR33" t="str">
        <f>IF(ISBLANK('LL1 Parser Table'!AT34),"ERRO",'LL1 Parser Table'!AT34)</f>
        <v>TermoNew -&gt; ''</v>
      </c>
      <c r="AS33" t="str">
        <f>IF(ISBLANK('LL1 Parser Table'!AU34),"ERRO",'LL1 Parser Table'!AU34)</f>
        <v>TermoNew -&gt; ''</v>
      </c>
      <c r="AT33" t="str">
        <f>IF(ISBLANK('LL1 Parser Table'!AV34),"ERRO",'LL1 Parser Table'!AV34)</f>
        <v>TermoNew -&gt; ''</v>
      </c>
      <c r="AU33" t="str">
        <f>IF(ISBLANK('LL1 Parser Table'!AW34),"ERRO",'LL1 Parser Table'!AW34)</f>
        <v>TermoNew -&gt; ''</v>
      </c>
      <c r="AV33" t="str">
        <f>IF(ISBLANK('LL1 Parser Table'!AX34),"ERRO",'LL1 Parser Table'!AX34)</f>
        <v>TermoNew -&gt; * Fator TermoNew</v>
      </c>
      <c r="AW33" t="str">
        <f>IF(ISBLANK('LL1 Parser Table'!AY34),"ERRO",'LL1 Parser Table'!AY34)</f>
        <v>TermoNew -&gt; / Fator TermoNew</v>
      </c>
      <c r="AX33" t="str">
        <f>IF(ISBLANK('LL1 Parser Table'!AZ34),"ERRO",'LL1 Parser Table'!AZ34)</f>
        <v>TermoNew -&gt; div Fator TermoNew</v>
      </c>
      <c r="AY33" t="str">
        <f>IF(ISBLANK('LL1 Parser Table'!BA34),"ERRO",'LL1 Parser Table'!BA34)</f>
        <v>TermoNew -&gt; e Fator TermoNew</v>
      </c>
      <c r="AZ33" t="str">
        <f>IF(ISBLANK('LL1 Parser Table'!BB34),"ERRO",'LL1 Parser Table'!BB34)</f>
        <v>ERRO</v>
      </c>
      <c r="BA33" t="str">
        <f>IF(ISBLANK('LL1 Parser Table'!BC34),"ERRO",'LL1 Parser Table'!BC34)</f>
        <v>ERRO</v>
      </c>
      <c r="BB33" t="str">
        <f>IF(ISBLANK('LL1 Parser Table'!BD34),"ERRO",'LL1 Parser Table'!BD34)</f>
        <v>ERRO</v>
      </c>
      <c r="BC33" t="str">
        <f>IF(ISBLANK('LL1 Parser Table'!BE34),"ERRO",'LL1 Parser Table'!BE34)</f>
        <v>ERRO</v>
      </c>
      <c r="BD33" t="str">
        <f>IF(ISBLANK('LL1 Parser Table'!BF34),"ERRO",'LL1 Parser Table'!BF34)</f>
        <v>ERRO</v>
      </c>
      <c r="BE33" t="str">
        <f>IF(ISBLANK('LL1 Parser Table'!BG34),"ERRO",'LL1 Parser Table'!BG34)</f>
        <v>ERRO</v>
      </c>
    </row>
    <row r="34" spans="1:57" x14ac:dyDescent="0.35">
      <c r="A34">
        <v>33</v>
      </c>
      <c r="B34" s="8" t="str">
        <f>'LL1 Parser Table'!D35</f>
        <v>Fator</v>
      </c>
      <c r="C34" t="str">
        <f>IF(ISBLANK('LL1 Parser Table'!E35),"ERRO",'LL1 Parser Table'!E35)</f>
        <v>ERRO</v>
      </c>
      <c r="D34" t="str">
        <f>IF(ISBLANK('LL1 Parser Table'!F35),"ERRO",'LL1 Parser Table'!F35)</f>
        <v>Fator -&gt; identificador IdentifierVariable</v>
      </c>
      <c r="E34" t="str">
        <f>IF(ISBLANK('LL1 Parser Table'!G35),"ERRO",'LL1 Parser Table'!G35)</f>
        <v>ERRO</v>
      </c>
      <c r="F34" t="str">
        <f>IF(ISBLANK('LL1 Parser Table'!H35),"ERRO",'LL1 Parser Table'!H35)</f>
        <v>ERRO</v>
      </c>
      <c r="G34" t="str">
        <f>IF(ISBLANK('LL1 Parser Table'!I35),"ERRO",'LL1 Parser Table'!I35)</f>
        <v>ERRO</v>
      </c>
      <c r="H34" t="str">
        <f>IF(ISBLANK('LL1 Parser Table'!J35),"ERRO",'LL1 Parser Table'!J35)</f>
        <v>ERRO</v>
      </c>
      <c r="I34" t="str">
        <f>IF(ISBLANK('LL1 Parser Table'!K35),"ERRO",'LL1 Parser Table'!K35)</f>
        <v>ERRO</v>
      </c>
      <c r="J34" t="str">
        <f>IF(ISBLANK('LL1 Parser Table'!L35),"ERRO",'LL1 Parser Table'!L35)</f>
        <v>Fator -&gt; ( Expressao )</v>
      </c>
      <c r="K34" t="str">
        <f>IF(ISBLANK('LL1 Parser Table'!M35),"ERRO",'LL1 Parser Table'!M35)</f>
        <v>ERRO</v>
      </c>
      <c r="L34" t="str">
        <f>IF(ISBLANK('LL1 Parser Table'!N35),"ERRO",'LL1 Parser Table'!N35)</f>
        <v>ERRO</v>
      </c>
      <c r="M34" t="str">
        <f>IF(ISBLANK('LL1 Parser Table'!O35),"ERRO",'LL1 Parser Table'!O35)</f>
        <v>ERRO</v>
      </c>
      <c r="N34" t="str">
        <f>IF(ISBLANK('LL1 Parser Table'!P35),"ERRO",'LL1 Parser Table'!P35)</f>
        <v>ERRO</v>
      </c>
      <c r="O34" t="str">
        <f>IF(ISBLANK('LL1 Parser Table'!Q35),"ERRO",'LL1 Parser Table'!Q35)</f>
        <v>ERRO</v>
      </c>
      <c r="P34" t="str">
        <f>IF(ISBLANK('LL1 Parser Table'!R35),"ERRO",'LL1 Parser Table'!R35)</f>
        <v>ERRO</v>
      </c>
      <c r="Q34" t="str">
        <f>IF(ISBLANK('LL1 Parser Table'!S35),"ERRO",'LL1 Parser Table'!S35)</f>
        <v>ERRO</v>
      </c>
      <c r="R34" t="str">
        <f>IF(ISBLANK('LL1 Parser Table'!T35),"ERRO",'LL1 Parser Table'!T35)</f>
        <v>ERRO</v>
      </c>
      <c r="S34" t="str">
        <f>IF(ISBLANK('LL1 Parser Table'!U35),"ERRO",'LL1 Parser Table'!U35)</f>
        <v>ERRO</v>
      </c>
      <c r="T34" t="str">
        <f>IF(ISBLANK('LL1 Parser Table'!V35),"ERRO",'LL1 Parser Table'!V35)</f>
        <v>Fator -&gt; numero_inteiro</v>
      </c>
      <c r="U34" t="str">
        <f>IF(ISBLANK('LL1 Parser Table'!W35),"ERRO",'LL1 Parser Table'!W35)</f>
        <v>ERRO</v>
      </c>
      <c r="V34" t="str">
        <f>IF(ISBLANK('LL1 Parser Table'!X35),"ERRO",'LL1 Parser Table'!X35)</f>
        <v>ERRO</v>
      </c>
      <c r="W34" t="str">
        <f>IF(ISBLANK('LL1 Parser Table'!Y35),"ERRO",'LL1 Parser Table'!Y35)</f>
        <v>ERRO</v>
      </c>
      <c r="X34" t="str">
        <f>IF(ISBLANK('LL1 Parser Table'!Z35),"ERRO",'LL1 Parser Table'!Z35)</f>
        <v>ERRO</v>
      </c>
      <c r="Y34" t="str">
        <f>IF(ISBLANK('LL1 Parser Table'!AA35),"ERRO",'LL1 Parser Table'!AA35)</f>
        <v>ERRO</v>
      </c>
      <c r="Z34" t="str">
        <f>IF(ISBLANK('LL1 Parser Table'!AB35),"ERRO",'LL1 Parser Table'!AB35)</f>
        <v>ERRO</v>
      </c>
      <c r="AA34" t="str">
        <f>IF(ISBLANK('LL1 Parser Table'!AC35),"ERRO",'LL1 Parser Table'!AC35)</f>
        <v>ERRO</v>
      </c>
      <c r="AB34" t="str">
        <f>IF(ISBLANK('LL1 Parser Table'!AD35),"ERRO",'LL1 Parser Table'!AD35)</f>
        <v>ERRO</v>
      </c>
      <c r="AC34" t="str">
        <f>IF(ISBLANK('LL1 Parser Table'!AE35),"ERRO",'LL1 Parser Table'!AE35)</f>
        <v>ERRO</v>
      </c>
      <c r="AD34" t="str">
        <f>IF(ISBLANK('LL1 Parser Table'!AF35),"ERRO",'LL1 Parser Table'!AF35)</f>
        <v>ERRO</v>
      </c>
      <c r="AE34" t="str">
        <f>IF(ISBLANK('LL1 Parser Table'!AG35),"ERRO",'LL1 Parser Table'!AG35)</f>
        <v>ERRO</v>
      </c>
      <c r="AF34" t="str">
        <f>IF(ISBLANK('LL1 Parser Table'!AH35),"ERRO",'LL1 Parser Table'!AH35)</f>
        <v>ERRO</v>
      </c>
      <c r="AG34" t="str">
        <f>IF(ISBLANK('LL1 Parser Table'!AI35),"ERRO",'LL1 Parser Table'!AI35)</f>
        <v>ERRO</v>
      </c>
      <c r="AH34" t="str">
        <f>IF(ISBLANK('LL1 Parser Table'!AJ35),"ERRO",'LL1 Parser Table'!AJ35)</f>
        <v>ERRO</v>
      </c>
      <c r="AI34" t="str">
        <f>IF(ISBLANK('LL1 Parser Table'!AK35),"ERRO",'LL1 Parser Table'!AK35)</f>
        <v>ERRO</v>
      </c>
      <c r="AJ34" t="str">
        <f>IF(ISBLANK('LL1 Parser Table'!AL35),"ERRO",'LL1 Parser Table'!AL35)</f>
        <v>ERRO</v>
      </c>
      <c r="AK34" t="str">
        <f>IF(ISBLANK('LL1 Parser Table'!AM35),"ERRO",'LL1 Parser Table'!AM35)</f>
        <v>ERRO</v>
      </c>
      <c r="AL34" t="str">
        <f>IF(ISBLANK('LL1 Parser Table'!AN35),"ERRO",'LL1 Parser Table'!AN35)</f>
        <v>ERRO</v>
      </c>
      <c r="AM34" t="str">
        <f>IF(ISBLANK('LL1 Parser Table'!AO35),"ERRO",'LL1 Parser Table'!AO35)</f>
        <v>ERRO</v>
      </c>
      <c r="AN34" t="str">
        <f>IF(ISBLANK('LL1 Parser Table'!AP35),"ERRO",'LL1 Parser Table'!AP35)</f>
        <v>ERRO</v>
      </c>
      <c r="AO34" t="str">
        <f>IF(ISBLANK('LL1 Parser Table'!AQ35),"ERRO",'LL1 Parser Table'!AQ35)</f>
        <v>ERRO</v>
      </c>
      <c r="AP34" t="str">
        <f>IF(ISBLANK('LL1 Parser Table'!AR35),"ERRO",'LL1 Parser Table'!AR35)</f>
        <v>ERRO</v>
      </c>
      <c r="AQ34" t="str">
        <f>IF(ISBLANK('LL1 Parser Table'!AS35),"ERRO",'LL1 Parser Table'!AS35)</f>
        <v>ERRO</v>
      </c>
      <c r="AR34" t="str">
        <f>IF(ISBLANK('LL1 Parser Table'!AT35),"ERRO",'LL1 Parser Table'!AT35)</f>
        <v>ERRO</v>
      </c>
      <c r="AS34" t="str">
        <f>IF(ISBLANK('LL1 Parser Table'!AU35),"ERRO",'LL1 Parser Table'!AU35)</f>
        <v>ERRO</v>
      </c>
      <c r="AT34" t="str">
        <f>IF(ISBLANK('LL1 Parser Table'!AV35),"ERRO",'LL1 Parser Table'!AV35)</f>
        <v>ERRO</v>
      </c>
      <c r="AU34" t="str">
        <f>IF(ISBLANK('LL1 Parser Table'!AW35),"ERRO",'LL1 Parser Table'!AW35)</f>
        <v>ERRO</v>
      </c>
      <c r="AV34" t="str">
        <f>IF(ISBLANK('LL1 Parser Table'!AX35),"ERRO",'LL1 Parser Table'!AX35)</f>
        <v>ERRO</v>
      </c>
      <c r="AW34" t="str">
        <f>IF(ISBLANK('LL1 Parser Table'!AY35),"ERRO",'LL1 Parser Table'!AY35)</f>
        <v>ERRO</v>
      </c>
      <c r="AX34" t="str">
        <f>IF(ISBLANK('LL1 Parser Table'!AZ35),"ERRO",'LL1 Parser Table'!AZ35)</f>
        <v>ERRO</v>
      </c>
      <c r="AY34" t="str">
        <f>IF(ISBLANK('LL1 Parser Table'!BA35),"ERRO",'LL1 Parser Table'!BA35)</f>
        <v>ERRO</v>
      </c>
      <c r="AZ34" t="str">
        <f>IF(ISBLANK('LL1 Parser Table'!BB35),"ERRO",'LL1 Parser Table'!BB35)</f>
        <v>Fator -&gt; nao Fator</v>
      </c>
      <c r="BA34" t="str">
        <f>IF(ISBLANK('LL1 Parser Table'!BC35),"ERRO",'LL1 Parser Table'!BC35)</f>
        <v>Fator -&gt; numero_real</v>
      </c>
      <c r="BB34" t="str">
        <f>IF(ISBLANK('LL1 Parser Table'!BD35),"ERRO",'LL1 Parser Table'!BD35)</f>
        <v>Fator -&gt; verdadeiro</v>
      </c>
      <c r="BC34" t="str">
        <f>IF(ISBLANK('LL1 Parser Table'!BE35),"ERRO",'LL1 Parser Table'!BE35)</f>
        <v>Fator -&gt; falso</v>
      </c>
      <c r="BD34" t="str">
        <f>IF(ISBLANK('LL1 Parser Table'!BF35),"ERRO",'LL1 Parser Table'!BF35)</f>
        <v>Fator -&gt; string</v>
      </c>
      <c r="BE34" t="str">
        <f>IF(ISBLANK('LL1 Parser Table'!BG35),"ERRO",'LL1 Parser Table'!BG35)</f>
        <v>ERRO</v>
      </c>
    </row>
    <row r="35" spans="1:57" x14ac:dyDescent="0.35">
      <c r="A35">
        <v>34</v>
      </c>
      <c r="B35" s="8" t="str">
        <f>'LL1 Parser Table'!D36</f>
        <v>IdentifierVariable</v>
      </c>
      <c r="C35" t="str">
        <f>IF(ISBLANK('LL1 Parser Table'!E36),"ERRO",'LL1 Parser Table'!E36)</f>
        <v>ERRO</v>
      </c>
      <c r="D35" t="str">
        <f>IF(ISBLANK('LL1 Parser Table'!F36),"ERRO",'LL1 Parser Table'!F36)</f>
        <v>ERRO</v>
      </c>
      <c r="E35" t="str">
        <f>IF(ISBLANK('LL1 Parser Table'!G36),"ERRO",'LL1 Parser Table'!G36)</f>
        <v>IdentifierVariable -&gt; VariableExp</v>
      </c>
      <c r="F35" t="str">
        <f>IF(ISBLANK('LL1 Parser Table'!H36),"ERRO",'LL1 Parser Table'!H36)</f>
        <v>ERRO</v>
      </c>
      <c r="G35" t="str">
        <f>IF(ISBLANK('LL1 Parser Table'!I36),"ERRO",'LL1 Parser Table'!I36)</f>
        <v>ERRO</v>
      </c>
      <c r="H35" t="str">
        <f>IF(ISBLANK('LL1 Parser Table'!J36),"ERRO",'LL1 Parser Table'!J36)</f>
        <v>ERRO</v>
      </c>
      <c r="I35" t="str">
        <f>IF(ISBLANK('LL1 Parser Table'!K36),"ERRO",'LL1 Parser Table'!K36)</f>
        <v>ERRO</v>
      </c>
      <c r="J35" t="str">
        <f>IF(ISBLANK('LL1 Parser Table'!L36),"ERRO",'LL1 Parser Table'!L36)</f>
        <v>IdentifierVariable -&gt; ( ExprIter )</v>
      </c>
      <c r="K35" t="str">
        <f>IF(ISBLANK('LL1 Parser Table'!M36),"ERRO",'LL1 Parser Table'!M36)</f>
        <v>IdentifierVariable -&gt; VariableExp</v>
      </c>
      <c r="L35" t="str">
        <f>IF(ISBLANK('LL1 Parser Table'!N36),"ERRO",'LL1 Parser Table'!N36)</f>
        <v>ERRO</v>
      </c>
      <c r="M35" t="str">
        <f>IF(ISBLANK('LL1 Parser Table'!O36),"ERRO",'LL1 Parser Table'!O36)</f>
        <v>ERRO</v>
      </c>
      <c r="N35" t="str">
        <f>IF(ISBLANK('LL1 Parser Table'!P36),"ERRO",'LL1 Parser Table'!P36)</f>
        <v>IdentifierVariable -&gt; VariableExp</v>
      </c>
      <c r="O35" t="str">
        <f>IF(ISBLANK('LL1 Parser Table'!Q36),"ERRO",'LL1 Parser Table'!Q36)</f>
        <v>IdentifierVariable -&gt; VariableExp</v>
      </c>
      <c r="P35" t="str">
        <f>IF(ISBLANK('LL1 Parser Table'!R36),"ERRO",'LL1 Parser Table'!R36)</f>
        <v>IdentifierVariable -&gt; VariableExp</v>
      </c>
      <c r="Q35" t="str">
        <f>IF(ISBLANK('LL1 Parser Table'!S36),"ERRO",'LL1 Parser Table'!S36)</f>
        <v>IdentifierVariable -&gt; VariableExp</v>
      </c>
      <c r="R35" t="str">
        <f>IF(ISBLANK('LL1 Parser Table'!T36),"ERRO",'LL1 Parser Table'!T36)</f>
        <v>ERRO</v>
      </c>
      <c r="S35" t="str">
        <f>IF(ISBLANK('LL1 Parser Table'!U36),"ERRO",'LL1 Parser Table'!U36)</f>
        <v>ERRO</v>
      </c>
      <c r="T35" t="str">
        <f>IF(ISBLANK('LL1 Parser Table'!V36),"ERRO",'LL1 Parser Table'!V36)</f>
        <v>ERRO</v>
      </c>
      <c r="U35" t="str">
        <f>IF(ISBLANK('LL1 Parser Table'!W36),"ERRO",'LL1 Parser Table'!W36)</f>
        <v>ERRO</v>
      </c>
      <c r="V35" t="str">
        <f>IF(ISBLANK('LL1 Parser Table'!X36),"ERRO",'LL1 Parser Table'!X36)</f>
        <v>ERRO</v>
      </c>
      <c r="W35" t="str">
        <f>IF(ISBLANK('LL1 Parser Table'!Y36),"ERRO",'LL1 Parser Table'!Y36)</f>
        <v>ERRO</v>
      </c>
      <c r="X35" t="str">
        <f>IF(ISBLANK('LL1 Parser Table'!Z36),"ERRO",'LL1 Parser Table'!Z36)</f>
        <v>ERRO</v>
      </c>
      <c r="Y35" t="str">
        <f>IF(ISBLANK('LL1 Parser Table'!AA36),"ERRO",'LL1 Parser Table'!AA36)</f>
        <v>ERRO</v>
      </c>
      <c r="Z35" t="str">
        <f>IF(ISBLANK('LL1 Parser Table'!AB36),"ERRO",'LL1 Parser Table'!AB36)</f>
        <v>ERRO</v>
      </c>
      <c r="AA35" t="str">
        <f>IF(ISBLANK('LL1 Parser Table'!AC36),"ERRO",'LL1 Parser Table'!AC36)</f>
        <v>ERRO</v>
      </c>
      <c r="AB35" t="str">
        <f>IF(ISBLANK('LL1 Parser Table'!AD36),"ERRO",'LL1 Parser Table'!AD36)</f>
        <v>ERRO</v>
      </c>
      <c r="AC35" t="str">
        <f>IF(ISBLANK('LL1 Parser Table'!AE36),"ERRO",'LL1 Parser Table'!AE36)</f>
        <v>IdentifierVariable -&gt; VariableExp</v>
      </c>
      <c r="AD35" t="str">
        <f>IF(ISBLANK('LL1 Parser Table'!AF36),"ERRO",'LL1 Parser Table'!AF36)</f>
        <v>ERRO</v>
      </c>
      <c r="AE35" t="str">
        <f>IF(ISBLANK('LL1 Parser Table'!AG36),"ERRO",'LL1 Parser Table'!AG36)</f>
        <v>ERRO</v>
      </c>
      <c r="AF35" t="str">
        <f>IF(ISBLANK('LL1 Parser Table'!AH36),"ERRO",'LL1 Parser Table'!AH36)</f>
        <v>IdentifierVariable -&gt; VariableExp</v>
      </c>
      <c r="AG35" t="str">
        <f>IF(ISBLANK('LL1 Parser Table'!AI36),"ERRO",'LL1 Parser Table'!AI36)</f>
        <v>ERRO</v>
      </c>
      <c r="AH35" t="str">
        <f>IF(ISBLANK('LL1 Parser Table'!AJ36),"ERRO",'LL1 Parser Table'!AJ36)</f>
        <v>ERRO</v>
      </c>
      <c r="AI35" t="str">
        <f>IF(ISBLANK('LL1 Parser Table'!AK36),"ERRO",'LL1 Parser Table'!AK36)</f>
        <v>IdentifierVariable -&gt; VariableExp</v>
      </c>
      <c r="AJ35" t="str">
        <f>IF(ISBLANK('LL1 Parser Table'!AL36),"ERRO",'LL1 Parser Table'!AL36)</f>
        <v>IdentifierVariable -&gt; VariableExp</v>
      </c>
      <c r="AK35" t="str">
        <f>IF(ISBLANK('LL1 Parser Table'!AM36),"ERRO",'LL1 Parser Table'!AM36)</f>
        <v>ERRO</v>
      </c>
      <c r="AL35" t="str">
        <f>IF(ISBLANK('LL1 Parser Table'!AN36),"ERRO",'LL1 Parser Table'!AN36)</f>
        <v>ERRO</v>
      </c>
      <c r="AM35" t="str">
        <f>IF(ISBLANK('LL1 Parser Table'!AO36),"ERRO",'LL1 Parser Table'!AO36)</f>
        <v>ERRO</v>
      </c>
      <c r="AN35" t="str">
        <f>IF(ISBLANK('LL1 Parser Table'!AP36),"ERRO",'LL1 Parser Table'!AP36)</f>
        <v>IdentifierVariable -&gt; VariableExp</v>
      </c>
      <c r="AO35" t="str">
        <f>IF(ISBLANK('LL1 Parser Table'!AQ36),"ERRO",'LL1 Parser Table'!AQ36)</f>
        <v>IdentifierVariable -&gt; VariableExp</v>
      </c>
      <c r="AP35" t="str">
        <f>IF(ISBLANK('LL1 Parser Table'!AR36),"ERRO",'LL1 Parser Table'!AR36)</f>
        <v>IdentifierVariable -&gt; VariableExp</v>
      </c>
      <c r="AQ35" t="str">
        <f>IF(ISBLANK('LL1 Parser Table'!AS36),"ERRO",'LL1 Parser Table'!AS36)</f>
        <v>IdentifierVariable -&gt; VariableExp</v>
      </c>
      <c r="AR35" t="str">
        <f>IF(ISBLANK('LL1 Parser Table'!AT36),"ERRO",'LL1 Parser Table'!AT36)</f>
        <v>IdentifierVariable -&gt; VariableExp</v>
      </c>
      <c r="AS35" t="str">
        <f>IF(ISBLANK('LL1 Parser Table'!AU36),"ERRO",'LL1 Parser Table'!AU36)</f>
        <v>IdentifierVariable -&gt; VariableExp</v>
      </c>
      <c r="AT35" t="str">
        <f>IF(ISBLANK('LL1 Parser Table'!AV36),"ERRO",'LL1 Parser Table'!AV36)</f>
        <v>IdentifierVariable -&gt; VariableExp</v>
      </c>
      <c r="AU35" t="str">
        <f>IF(ISBLANK('LL1 Parser Table'!AW36),"ERRO",'LL1 Parser Table'!AW36)</f>
        <v>IdentifierVariable -&gt; VariableExp</v>
      </c>
      <c r="AV35" t="str">
        <f>IF(ISBLANK('LL1 Parser Table'!AX36),"ERRO",'LL1 Parser Table'!AX36)</f>
        <v>IdentifierVariable -&gt; VariableExp</v>
      </c>
      <c r="AW35" t="str">
        <f>IF(ISBLANK('LL1 Parser Table'!AY36),"ERRO",'LL1 Parser Table'!AY36)</f>
        <v>IdentifierVariable -&gt; VariableExp</v>
      </c>
      <c r="AX35" t="str">
        <f>IF(ISBLANK('LL1 Parser Table'!AZ36),"ERRO",'LL1 Parser Table'!AZ36)</f>
        <v>IdentifierVariable -&gt; VariableExp</v>
      </c>
      <c r="AY35" t="str">
        <f>IF(ISBLANK('LL1 Parser Table'!BA36),"ERRO",'LL1 Parser Table'!BA36)</f>
        <v>IdentifierVariable -&gt; VariableExp</v>
      </c>
      <c r="AZ35" t="str">
        <f>IF(ISBLANK('LL1 Parser Table'!BB36),"ERRO",'LL1 Parser Table'!BB36)</f>
        <v>ERRO</v>
      </c>
      <c r="BA35" t="str">
        <f>IF(ISBLANK('LL1 Parser Table'!BC36),"ERRO",'LL1 Parser Table'!BC36)</f>
        <v>ERRO</v>
      </c>
      <c r="BB35" t="str">
        <f>IF(ISBLANK('LL1 Parser Table'!BD36),"ERRO",'LL1 Parser Table'!BD36)</f>
        <v>ERRO</v>
      </c>
      <c r="BC35" t="str">
        <f>IF(ISBLANK('LL1 Parser Table'!BE36),"ERRO",'LL1 Parser Table'!BE36)</f>
        <v>ERRO</v>
      </c>
      <c r="BD35" t="str">
        <f>IF(ISBLANK('LL1 Parser Table'!BF36),"ERRO",'LL1 Parser Table'!BF36)</f>
        <v>ERRO</v>
      </c>
      <c r="BE35" t="str">
        <f>IF(ISBLANK('LL1 Parser Table'!BG36),"ERRO",'LL1 Parser Table'!BG36)</f>
        <v>ERRO</v>
      </c>
    </row>
    <row r="36" spans="1:57" x14ac:dyDescent="0.35">
      <c r="A36">
        <v>35</v>
      </c>
      <c r="B36" s="8" t="str">
        <f>'LL1 Parser Table'!D37</f>
        <v>Variavel</v>
      </c>
      <c r="C36" t="str">
        <f>IF(ISBLANK('LL1 Parser Table'!E37),"ERRO",'LL1 Parser Table'!E37)</f>
        <v>ERRO</v>
      </c>
      <c r="D36" t="str">
        <f>IF(ISBLANK('LL1 Parser Table'!F37),"ERRO",'LL1 Parser Table'!F37)</f>
        <v>Variavel -&gt; identificador VariableExp</v>
      </c>
      <c r="E36" t="str">
        <f>IF(ISBLANK('LL1 Parser Table'!G37),"ERRO",'LL1 Parser Table'!G37)</f>
        <v>ERRO</v>
      </c>
      <c r="F36" t="str">
        <f>IF(ISBLANK('LL1 Parser Table'!H37),"ERRO",'LL1 Parser Table'!H37)</f>
        <v>ERRO</v>
      </c>
      <c r="G36" t="str">
        <f>IF(ISBLANK('LL1 Parser Table'!I37),"ERRO",'LL1 Parser Table'!I37)</f>
        <v>ERRO</v>
      </c>
      <c r="H36" t="str">
        <f>IF(ISBLANK('LL1 Parser Table'!J37),"ERRO",'LL1 Parser Table'!J37)</f>
        <v>ERRO</v>
      </c>
      <c r="I36" t="str">
        <f>IF(ISBLANK('LL1 Parser Table'!K37),"ERRO",'LL1 Parser Table'!K37)</f>
        <v>ERRO</v>
      </c>
      <c r="J36" t="str">
        <f>IF(ISBLANK('LL1 Parser Table'!L37),"ERRO",'LL1 Parser Table'!L37)</f>
        <v>ERRO</v>
      </c>
      <c r="K36" t="str">
        <f>IF(ISBLANK('LL1 Parser Table'!M37),"ERRO",'LL1 Parser Table'!M37)</f>
        <v>ERRO</v>
      </c>
      <c r="L36" t="str">
        <f>IF(ISBLANK('LL1 Parser Table'!N37),"ERRO",'LL1 Parser Table'!N37)</f>
        <v>ERRO</v>
      </c>
      <c r="M36" t="str">
        <f>IF(ISBLANK('LL1 Parser Table'!O37),"ERRO",'LL1 Parser Table'!O37)</f>
        <v>ERRO</v>
      </c>
      <c r="N36" t="str">
        <f>IF(ISBLANK('LL1 Parser Table'!P37),"ERRO",'LL1 Parser Table'!P37)</f>
        <v>ERRO</v>
      </c>
      <c r="O36" t="str">
        <f>IF(ISBLANK('LL1 Parser Table'!Q37),"ERRO",'LL1 Parser Table'!Q37)</f>
        <v>ERRO</v>
      </c>
      <c r="P36" t="str">
        <f>IF(ISBLANK('LL1 Parser Table'!R37),"ERRO",'LL1 Parser Table'!R37)</f>
        <v>ERRO</v>
      </c>
      <c r="Q36" t="str">
        <f>IF(ISBLANK('LL1 Parser Table'!S37),"ERRO",'LL1 Parser Table'!S37)</f>
        <v>ERRO</v>
      </c>
      <c r="R36" t="str">
        <f>IF(ISBLANK('LL1 Parser Table'!T37),"ERRO",'LL1 Parser Table'!T37)</f>
        <v>ERRO</v>
      </c>
      <c r="S36" t="str">
        <f>IF(ISBLANK('LL1 Parser Table'!U37),"ERRO",'LL1 Parser Table'!U37)</f>
        <v>ERRO</v>
      </c>
      <c r="T36" t="str">
        <f>IF(ISBLANK('LL1 Parser Table'!V37),"ERRO",'LL1 Parser Table'!V37)</f>
        <v>ERRO</v>
      </c>
      <c r="U36" t="str">
        <f>IF(ISBLANK('LL1 Parser Table'!W37),"ERRO",'LL1 Parser Table'!W37)</f>
        <v>ERRO</v>
      </c>
      <c r="V36" t="str">
        <f>IF(ISBLANK('LL1 Parser Table'!X37),"ERRO",'LL1 Parser Table'!X37)</f>
        <v>ERRO</v>
      </c>
      <c r="W36" t="str">
        <f>IF(ISBLANK('LL1 Parser Table'!Y37),"ERRO",'LL1 Parser Table'!Y37)</f>
        <v>ERRO</v>
      </c>
      <c r="X36" t="str">
        <f>IF(ISBLANK('LL1 Parser Table'!Z37),"ERRO",'LL1 Parser Table'!Z37)</f>
        <v>ERRO</v>
      </c>
      <c r="Y36" t="str">
        <f>IF(ISBLANK('LL1 Parser Table'!AA37),"ERRO",'LL1 Parser Table'!AA37)</f>
        <v>ERRO</v>
      </c>
      <c r="Z36" t="str">
        <f>IF(ISBLANK('LL1 Parser Table'!AB37),"ERRO",'LL1 Parser Table'!AB37)</f>
        <v>ERRO</v>
      </c>
      <c r="AA36" t="str">
        <f>IF(ISBLANK('LL1 Parser Table'!AC37),"ERRO",'LL1 Parser Table'!AC37)</f>
        <v>ERRO</v>
      </c>
      <c r="AB36" t="str">
        <f>IF(ISBLANK('LL1 Parser Table'!AD37),"ERRO",'LL1 Parser Table'!AD37)</f>
        <v>ERRO</v>
      </c>
      <c r="AC36" t="str">
        <f>IF(ISBLANK('LL1 Parser Table'!AE37),"ERRO",'LL1 Parser Table'!AE37)</f>
        <v>ERRO</v>
      </c>
      <c r="AD36" t="str">
        <f>IF(ISBLANK('LL1 Parser Table'!AF37),"ERRO",'LL1 Parser Table'!AF37)</f>
        <v>ERRO</v>
      </c>
      <c r="AE36" t="str">
        <f>IF(ISBLANK('LL1 Parser Table'!AG37),"ERRO",'LL1 Parser Table'!AG37)</f>
        <v>ERRO</v>
      </c>
      <c r="AF36" t="str">
        <f>IF(ISBLANK('LL1 Parser Table'!AH37),"ERRO",'LL1 Parser Table'!AH37)</f>
        <v>ERRO</v>
      </c>
      <c r="AG36" t="str">
        <f>IF(ISBLANK('LL1 Parser Table'!AI37),"ERRO",'LL1 Parser Table'!AI37)</f>
        <v>ERRO</v>
      </c>
      <c r="AH36" t="str">
        <f>IF(ISBLANK('LL1 Parser Table'!AJ37),"ERRO",'LL1 Parser Table'!AJ37)</f>
        <v>ERRO</v>
      </c>
      <c r="AI36" t="str">
        <f>IF(ISBLANK('LL1 Parser Table'!AK37),"ERRO",'LL1 Parser Table'!AK37)</f>
        <v>ERRO</v>
      </c>
      <c r="AJ36" t="str">
        <f>IF(ISBLANK('LL1 Parser Table'!AL37),"ERRO",'LL1 Parser Table'!AL37)</f>
        <v>ERRO</v>
      </c>
      <c r="AK36" t="str">
        <f>IF(ISBLANK('LL1 Parser Table'!AM37),"ERRO",'LL1 Parser Table'!AM37)</f>
        <v>ERRO</v>
      </c>
      <c r="AL36" t="str">
        <f>IF(ISBLANK('LL1 Parser Table'!AN37),"ERRO",'LL1 Parser Table'!AN37)</f>
        <v>ERRO</v>
      </c>
      <c r="AM36" t="str">
        <f>IF(ISBLANK('LL1 Parser Table'!AO37),"ERRO",'LL1 Parser Table'!AO37)</f>
        <v>ERRO</v>
      </c>
      <c r="AN36" t="str">
        <f>IF(ISBLANK('LL1 Parser Table'!AP37),"ERRO",'LL1 Parser Table'!AP37)</f>
        <v>ERRO</v>
      </c>
      <c r="AO36" t="str">
        <f>IF(ISBLANK('LL1 Parser Table'!AQ37),"ERRO",'LL1 Parser Table'!AQ37)</f>
        <v>ERRO</v>
      </c>
      <c r="AP36" t="str">
        <f>IF(ISBLANK('LL1 Parser Table'!AR37),"ERRO",'LL1 Parser Table'!AR37)</f>
        <v>ERRO</v>
      </c>
      <c r="AQ36" t="str">
        <f>IF(ISBLANK('LL1 Parser Table'!AS37),"ERRO",'LL1 Parser Table'!AS37)</f>
        <v>ERRO</v>
      </c>
      <c r="AR36" t="str">
        <f>IF(ISBLANK('LL1 Parser Table'!AT37),"ERRO",'LL1 Parser Table'!AT37)</f>
        <v>ERRO</v>
      </c>
      <c r="AS36" t="str">
        <f>IF(ISBLANK('LL1 Parser Table'!AU37),"ERRO",'LL1 Parser Table'!AU37)</f>
        <v>ERRO</v>
      </c>
      <c r="AT36" t="str">
        <f>IF(ISBLANK('LL1 Parser Table'!AV37),"ERRO",'LL1 Parser Table'!AV37)</f>
        <v>ERRO</v>
      </c>
      <c r="AU36" t="str">
        <f>IF(ISBLANK('LL1 Parser Table'!AW37),"ERRO",'LL1 Parser Table'!AW37)</f>
        <v>ERRO</v>
      </c>
      <c r="AV36" t="str">
        <f>IF(ISBLANK('LL1 Parser Table'!AX37),"ERRO",'LL1 Parser Table'!AX37)</f>
        <v>ERRO</v>
      </c>
      <c r="AW36" t="str">
        <f>IF(ISBLANK('LL1 Parser Table'!AY37),"ERRO",'LL1 Parser Table'!AY37)</f>
        <v>ERRO</v>
      </c>
      <c r="AX36" t="str">
        <f>IF(ISBLANK('LL1 Parser Table'!AZ37),"ERRO",'LL1 Parser Table'!AZ37)</f>
        <v>ERRO</v>
      </c>
      <c r="AY36" t="str">
        <f>IF(ISBLANK('LL1 Parser Table'!BA37),"ERRO",'LL1 Parser Table'!BA37)</f>
        <v>ERRO</v>
      </c>
      <c r="AZ36" t="str">
        <f>IF(ISBLANK('LL1 Parser Table'!BB37),"ERRO",'LL1 Parser Table'!BB37)</f>
        <v>ERRO</v>
      </c>
      <c r="BA36" t="str">
        <f>IF(ISBLANK('LL1 Parser Table'!BC37),"ERRO",'LL1 Parser Table'!BC37)</f>
        <v>ERRO</v>
      </c>
      <c r="BB36" t="str">
        <f>IF(ISBLANK('LL1 Parser Table'!BD37),"ERRO",'LL1 Parser Table'!BD37)</f>
        <v>ERRO</v>
      </c>
      <c r="BC36" t="str">
        <f>IF(ISBLANK('LL1 Parser Table'!BE37),"ERRO",'LL1 Parser Table'!BE37)</f>
        <v>ERRO</v>
      </c>
      <c r="BD36" t="str">
        <f>IF(ISBLANK('LL1 Parser Table'!BF37),"ERRO",'LL1 Parser Table'!BF37)</f>
        <v>ERRO</v>
      </c>
      <c r="BE36" t="str">
        <f>IF(ISBLANK('LL1 Parser Table'!BG37),"ERRO",'LL1 Parser Table'!BG37)</f>
        <v>ERRO</v>
      </c>
    </row>
    <row r="37" spans="1:57" x14ac:dyDescent="0.35">
      <c r="A37">
        <v>36</v>
      </c>
      <c r="B37" s="8" t="str">
        <f>'LL1 Parser Table'!D38</f>
        <v>VariableExp</v>
      </c>
      <c r="C37" t="str">
        <f>IF(ISBLANK('LL1 Parser Table'!E38),"ERRO",'LL1 Parser Table'!E38)</f>
        <v>ERRO</v>
      </c>
      <c r="D37" t="str">
        <f>IF(ISBLANK('LL1 Parser Table'!F38),"ERRO",'LL1 Parser Table'!F38)</f>
        <v>ERRO</v>
      </c>
      <c r="E37" t="str">
        <f>IF(ISBLANK('LL1 Parser Table'!G38),"ERRO",'LL1 Parser Table'!G38)</f>
        <v>VariableExp -&gt; ''</v>
      </c>
      <c r="F37" t="str">
        <f>IF(ISBLANK('LL1 Parser Table'!H38),"ERRO",'LL1 Parser Table'!H38)</f>
        <v>ERRO</v>
      </c>
      <c r="G37" t="str">
        <f>IF(ISBLANK('LL1 Parser Table'!I38),"ERRO",'LL1 Parser Table'!I38)</f>
        <v>ERRO</v>
      </c>
      <c r="H37" t="str">
        <f>IF(ISBLANK('LL1 Parser Table'!J38),"ERRO",'LL1 Parser Table'!J38)</f>
        <v>ERRO</v>
      </c>
      <c r="I37" t="str">
        <f>IF(ISBLANK('LL1 Parser Table'!K38),"ERRO",'LL1 Parser Table'!K38)</f>
        <v>ERRO</v>
      </c>
      <c r="J37" t="str">
        <f>IF(ISBLANK('LL1 Parser Table'!L38),"ERRO",'LL1 Parser Table'!L38)</f>
        <v>ERRO</v>
      </c>
      <c r="K37" t="str">
        <f>IF(ISBLANK('LL1 Parser Table'!M38),"ERRO",'LL1 Parser Table'!M38)</f>
        <v>VariableExp -&gt; ''</v>
      </c>
      <c r="L37" t="str">
        <f>IF(ISBLANK('LL1 Parser Table'!N38),"ERRO",'LL1 Parser Table'!N38)</f>
        <v>ERRO</v>
      </c>
      <c r="M37" t="str">
        <f>IF(ISBLANK('LL1 Parser Table'!O38),"ERRO",'LL1 Parser Table'!O38)</f>
        <v>ERRO</v>
      </c>
      <c r="N37" t="str">
        <f>IF(ISBLANK('LL1 Parser Table'!P38),"ERRO",'LL1 Parser Table'!P38)</f>
        <v>VariableExp -&gt; ''</v>
      </c>
      <c r="O37" t="str">
        <f>IF(ISBLANK('LL1 Parser Table'!Q38),"ERRO",'LL1 Parser Table'!Q38)</f>
        <v>VariableExp -&gt; [ ExprIter ]</v>
      </c>
      <c r="P37" t="str">
        <f>IF(ISBLANK('LL1 Parser Table'!R38),"ERRO",'LL1 Parser Table'!R38)</f>
        <v>VariableExp -&gt; ''</v>
      </c>
      <c r="Q37" t="str">
        <f>IF(ISBLANK('LL1 Parser Table'!S38),"ERRO",'LL1 Parser Table'!S38)</f>
        <v>VariableExp -&gt; ''</v>
      </c>
      <c r="R37" t="str">
        <f>IF(ISBLANK('LL1 Parser Table'!T38),"ERRO",'LL1 Parser Table'!T38)</f>
        <v>ERRO</v>
      </c>
      <c r="S37" t="str">
        <f>IF(ISBLANK('LL1 Parser Table'!U38),"ERRO",'LL1 Parser Table'!U38)</f>
        <v>ERRO</v>
      </c>
      <c r="T37" t="str">
        <f>IF(ISBLANK('LL1 Parser Table'!V38),"ERRO",'LL1 Parser Table'!V38)</f>
        <v>ERRO</v>
      </c>
      <c r="U37" t="str">
        <f>IF(ISBLANK('LL1 Parser Table'!W38),"ERRO",'LL1 Parser Table'!W38)</f>
        <v>ERRO</v>
      </c>
      <c r="V37" t="str">
        <f>IF(ISBLANK('LL1 Parser Table'!X38),"ERRO",'LL1 Parser Table'!X38)</f>
        <v>ERRO</v>
      </c>
      <c r="W37" t="str">
        <f>IF(ISBLANK('LL1 Parser Table'!Y38),"ERRO",'LL1 Parser Table'!Y38)</f>
        <v>ERRO</v>
      </c>
      <c r="X37" t="str">
        <f>IF(ISBLANK('LL1 Parser Table'!Z38),"ERRO",'LL1 Parser Table'!Z38)</f>
        <v>ERRO</v>
      </c>
      <c r="Y37" t="str">
        <f>IF(ISBLANK('LL1 Parser Table'!AA38),"ERRO",'LL1 Parser Table'!AA38)</f>
        <v>ERRO</v>
      </c>
      <c r="Z37" t="str">
        <f>IF(ISBLANK('LL1 Parser Table'!AB38),"ERRO",'LL1 Parser Table'!AB38)</f>
        <v>ERRO</v>
      </c>
      <c r="AA37" t="str">
        <f>IF(ISBLANK('LL1 Parser Table'!AC38),"ERRO",'LL1 Parser Table'!AC38)</f>
        <v>ERRO</v>
      </c>
      <c r="AB37" t="str">
        <f>IF(ISBLANK('LL1 Parser Table'!AD38),"ERRO",'LL1 Parser Table'!AD38)</f>
        <v>ERRO</v>
      </c>
      <c r="AC37" t="str">
        <f>IF(ISBLANK('LL1 Parser Table'!AE38),"ERRO",'LL1 Parser Table'!AE38)</f>
        <v>VariableExp -&gt; ''</v>
      </c>
      <c r="AD37" t="str">
        <f>IF(ISBLANK('LL1 Parser Table'!AF38),"ERRO",'LL1 Parser Table'!AF38)</f>
        <v>ERRO</v>
      </c>
      <c r="AE37" t="str">
        <f>IF(ISBLANK('LL1 Parser Table'!AG38),"ERRO",'LL1 Parser Table'!AG38)</f>
        <v>ERRO</v>
      </c>
      <c r="AF37" t="str">
        <f>IF(ISBLANK('LL1 Parser Table'!AH38),"ERRO",'LL1 Parser Table'!AH38)</f>
        <v>VariableExp -&gt; ''</v>
      </c>
      <c r="AG37" t="str">
        <f>IF(ISBLANK('LL1 Parser Table'!AI38),"ERRO",'LL1 Parser Table'!AI38)</f>
        <v>ERRO</v>
      </c>
      <c r="AH37" t="str">
        <f>IF(ISBLANK('LL1 Parser Table'!AJ38),"ERRO",'LL1 Parser Table'!AJ38)</f>
        <v>ERRO</v>
      </c>
      <c r="AI37" t="str">
        <f>IF(ISBLANK('LL1 Parser Table'!AK38),"ERRO",'LL1 Parser Table'!AK38)</f>
        <v>VariableExp -&gt; ''</v>
      </c>
      <c r="AJ37" t="str">
        <f>IF(ISBLANK('LL1 Parser Table'!AL38),"ERRO",'LL1 Parser Table'!AL38)</f>
        <v>VariableExp -&gt; ''</v>
      </c>
      <c r="AK37" t="str">
        <f>IF(ISBLANK('LL1 Parser Table'!AM38),"ERRO",'LL1 Parser Table'!AM38)</f>
        <v>ERRO</v>
      </c>
      <c r="AL37" t="str">
        <f>IF(ISBLANK('LL1 Parser Table'!AN38),"ERRO",'LL1 Parser Table'!AN38)</f>
        <v>ERRO</v>
      </c>
      <c r="AM37" t="str">
        <f>IF(ISBLANK('LL1 Parser Table'!AO38),"ERRO",'LL1 Parser Table'!AO38)</f>
        <v>ERRO</v>
      </c>
      <c r="AN37" t="str">
        <f>IF(ISBLANK('LL1 Parser Table'!AP38),"ERRO",'LL1 Parser Table'!AP38)</f>
        <v>VariableExp -&gt; ''</v>
      </c>
      <c r="AO37" t="str">
        <f>IF(ISBLANK('LL1 Parser Table'!AQ38),"ERRO",'LL1 Parser Table'!AQ38)</f>
        <v>VariableExp -&gt; ''</v>
      </c>
      <c r="AP37" t="str">
        <f>IF(ISBLANK('LL1 Parser Table'!AR38),"ERRO",'LL1 Parser Table'!AR38)</f>
        <v>VariableExp -&gt; ''</v>
      </c>
      <c r="AQ37" t="str">
        <f>IF(ISBLANK('LL1 Parser Table'!AS38),"ERRO",'LL1 Parser Table'!AS38)</f>
        <v>VariableExp -&gt; ''</v>
      </c>
      <c r="AR37" t="str">
        <f>IF(ISBLANK('LL1 Parser Table'!AT38),"ERRO",'LL1 Parser Table'!AT38)</f>
        <v>VariableExp -&gt; ''</v>
      </c>
      <c r="AS37" t="str">
        <f>IF(ISBLANK('LL1 Parser Table'!AU38),"ERRO",'LL1 Parser Table'!AU38)</f>
        <v>VariableExp -&gt; ''</v>
      </c>
      <c r="AT37" t="str">
        <f>IF(ISBLANK('LL1 Parser Table'!AV38),"ERRO",'LL1 Parser Table'!AV38)</f>
        <v>VariableExp -&gt; ''</v>
      </c>
      <c r="AU37" t="str">
        <f>IF(ISBLANK('LL1 Parser Table'!AW38),"ERRO",'LL1 Parser Table'!AW38)</f>
        <v>VariableExp -&gt; ''</v>
      </c>
      <c r="AV37" t="str">
        <f>IF(ISBLANK('LL1 Parser Table'!AX38),"ERRO",'LL1 Parser Table'!AX38)</f>
        <v>VariableExp -&gt; ''</v>
      </c>
      <c r="AW37" t="str">
        <f>IF(ISBLANK('LL1 Parser Table'!AY38),"ERRO",'LL1 Parser Table'!AY38)</f>
        <v>VariableExp -&gt; ''</v>
      </c>
      <c r="AX37" t="str">
        <f>IF(ISBLANK('LL1 Parser Table'!AZ38),"ERRO",'LL1 Parser Table'!AZ38)</f>
        <v>VariableExp -&gt; ''</v>
      </c>
      <c r="AY37" t="str">
        <f>IF(ISBLANK('LL1 Parser Table'!BA38),"ERRO",'LL1 Parser Table'!BA38)</f>
        <v>VariableExp -&gt; ''</v>
      </c>
      <c r="AZ37" t="str">
        <f>IF(ISBLANK('LL1 Parser Table'!BB38),"ERRO",'LL1 Parser Table'!BB38)</f>
        <v>ERRO</v>
      </c>
      <c r="BA37" t="str">
        <f>IF(ISBLANK('LL1 Parser Table'!BC38),"ERRO",'LL1 Parser Table'!BC38)</f>
        <v>ERRO</v>
      </c>
      <c r="BB37" t="str">
        <f>IF(ISBLANK('LL1 Parser Table'!BD38),"ERRO",'LL1 Parser Table'!BD38)</f>
        <v>ERRO</v>
      </c>
      <c r="BC37" t="str">
        <f>IF(ISBLANK('LL1 Parser Table'!BE38),"ERRO",'LL1 Parser Table'!BE38)</f>
        <v>ERRO</v>
      </c>
      <c r="BD37" t="str">
        <f>IF(ISBLANK('LL1 Parser Table'!BF38),"ERRO",'LL1 Parser Table'!BF38)</f>
        <v>ERRO</v>
      </c>
      <c r="BE37" t="str">
        <f>IF(ISBLANK('LL1 Parser Table'!BG38),"ERRO",'LL1 Parser Table'!BG38)</f>
        <v>ERRO</v>
      </c>
    </row>
    <row r="38" spans="1:57" x14ac:dyDescent="0.35">
      <c r="A38">
        <v>37</v>
      </c>
      <c r="B38" s="8" t="str">
        <f>'LL1 Parser Table'!D39</f>
        <v>ExprIter</v>
      </c>
      <c r="C38" t="str">
        <f>IF(ISBLANK('LL1 Parser Table'!E39),"ERRO",'LL1 Parser Table'!E39)</f>
        <v>ERRO</v>
      </c>
      <c r="D38" t="str">
        <f>IF(ISBLANK('LL1 Parser Table'!F39),"ERRO",'LL1 Parser Table'!F39)</f>
        <v>ExprIter -&gt; Expressao ExprIterBonus</v>
      </c>
      <c r="E38" t="str">
        <f>IF(ISBLANK('LL1 Parser Table'!G39),"ERRO",'LL1 Parser Table'!G39)</f>
        <v>ERRO</v>
      </c>
      <c r="F38" t="str">
        <f>IF(ISBLANK('LL1 Parser Table'!H39),"ERRO",'LL1 Parser Table'!H39)</f>
        <v>ERRO</v>
      </c>
      <c r="G38" t="str">
        <f>IF(ISBLANK('LL1 Parser Table'!I39),"ERRO",'LL1 Parser Table'!I39)</f>
        <v>ERRO</v>
      </c>
      <c r="H38" t="str">
        <f>IF(ISBLANK('LL1 Parser Table'!J39),"ERRO",'LL1 Parser Table'!J39)</f>
        <v>ERRO</v>
      </c>
      <c r="I38" t="str">
        <f>IF(ISBLANK('LL1 Parser Table'!K39),"ERRO",'LL1 Parser Table'!K39)</f>
        <v>ERRO</v>
      </c>
      <c r="J38" t="str">
        <f>IF(ISBLANK('LL1 Parser Table'!L39),"ERRO",'LL1 Parser Table'!L39)</f>
        <v>ExprIter -&gt; Expressao ExprIterBonus</v>
      </c>
      <c r="K38" t="str">
        <f>IF(ISBLANK('LL1 Parser Table'!M39),"ERRO",'LL1 Parser Table'!M39)</f>
        <v>ExprIter -&gt; Expressao ExprIterBonus</v>
      </c>
      <c r="L38" t="str">
        <f>IF(ISBLANK('LL1 Parser Table'!N39),"ERRO",'LL1 Parser Table'!N39)</f>
        <v>ERRO</v>
      </c>
      <c r="M38" t="str">
        <f>IF(ISBLANK('LL1 Parser Table'!O39),"ERRO",'LL1 Parser Table'!O39)</f>
        <v>ERRO</v>
      </c>
      <c r="N38" t="str">
        <f>IF(ISBLANK('LL1 Parser Table'!P39),"ERRO",'LL1 Parser Table'!P39)</f>
        <v>ExprIter -&gt; Expressao ExprIterBonus</v>
      </c>
      <c r="O38" t="str">
        <f>IF(ISBLANK('LL1 Parser Table'!Q39),"ERRO",'LL1 Parser Table'!Q39)</f>
        <v>ERRO</v>
      </c>
      <c r="P38" t="str">
        <f>IF(ISBLANK('LL1 Parser Table'!R39),"ERRO",'LL1 Parser Table'!R39)</f>
        <v>ExprIter -&gt; Expressao ExprIterBonus</v>
      </c>
      <c r="Q38" t="str">
        <f>IF(ISBLANK('LL1 Parser Table'!S39),"ERRO",'LL1 Parser Table'!S39)</f>
        <v>ExprIter -&gt; Expressao ExprIterBonus</v>
      </c>
      <c r="R38" t="str">
        <f>IF(ISBLANK('LL1 Parser Table'!T39),"ERRO",'LL1 Parser Table'!T39)</f>
        <v>ERRO</v>
      </c>
      <c r="S38" t="str">
        <f>IF(ISBLANK('LL1 Parser Table'!U39),"ERRO",'LL1 Parser Table'!U39)</f>
        <v>ERRO</v>
      </c>
      <c r="T38" t="str">
        <f>IF(ISBLANK('LL1 Parser Table'!V39),"ERRO",'LL1 Parser Table'!V39)</f>
        <v>ExprIter -&gt; Expressao ExprIterBonus</v>
      </c>
      <c r="U38" t="str">
        <f>IF(ISBLANK('LL1 Parser Table'!W39),"ERRO",'LL1 Parser Table'!W39)</f>
        <v>ERRO</v>
      </c>
      <c r="V38" t="str">
        <f>IF(ISBLANK('LL1 Parser Table'!X39),"ERRO",'LL1 Parser Table'!X39)</f>
        <v>ERRO</v>
      </c>
      <c r="W38" t="str">
        <f>IF(ISBLANK('LL1 Parser Table'!Y39),"ERRO",'LL1 Parser Table'!Y39)</f>
        <v>ERRO</v>
      </c>
      <c r="X38" t="str">
        <f>IF(ISBLANK('LL1 Parser Table'!Z39),"ERRO",'LL1 Parser Table'!Z39)</f>
        <v>ERRO</v>
      </c>
      <c r="Y38" t="str">
        <f>IF(ISBLANK('LL1 Parser Table'!AA39),"ERRO",'LL1 Parser Table'!AA39)</f>
        <v>ERRO</v>
      </c>
      <c r="Z38" t="str">
        <f>IF(ISBLANK('LL1 Parser Table'!AB39),"ERRO",'LL1 Parser Table'!AB39)</f>
        <v>ERRO</v>
      </c>
      <c r="AA38" t="str">
        <f>IF(ISBLANK('LL1 Parser Table'!AC39),"ERRO",'LL1 Parser Table'!AC39)</f>
        <v>ERRO</v>
      </c>
      <c r="AB38" t="str">
        <f>IF(ISBLANK('LL1 Parser Table'!AD39),"ERRO",'LL1 Parser Table'!AD39)</f>
        <v>ERRO</v>
      </c>
      <c r="AC38" t="str">
        <f>IF(ISBLANK('LL1 Parser Table'!AE39),"ERRO",'LL1 Parser Table'!AE39)</f>
        <v>ERRO</v>
      </c>
      <c r="AD38" t="str">
        <f>IF(ISBLANK('LL1 Parser Table'!AF39),"ERRO",'LL1 Parser Table'!AF39)</f>
        <v>ERRO</v>
      </c>
      <c r="AE38" t="str">
        <f>IF(ISBLANK('LL1 Parser Table'!AG39),"ERRO",'LL1 Parser Table'!AG39)</f>
        <v>ERRO</v>
      </c>
      <c r="AF38" t="str">
        <f>IF(ISBLANK('LL1 Parser Table'!AH39),"ERRO",'LL1 Parser Table'!AH39)</f>
        <v>ERRO</v>
      </c>
      <c r="AG38" t="str">
        <f>IF(ISBLANK('LL1 Parser Table'!AI39),"ERRO",'LL1 Parser Table'!AI39)</f>
        <v>ERRO</v>
      </c>
      <c r="AH38" t="str">
        <f>IF(ISBLANK('LL1 Parser Table'!AJ39),"ERRO",'LL1 Parser Table'!AJ39)</f>
        <v>ERRO</v>
      </c>
      <c r="AI38" t="str">
        <f>IF(ISBLANK('LL1 Parser Table'!AK39),"ERRO",'LL1 Parser Table'!AK39)</f>
        <v>ERRO</v>
      </c>
      <c r="AJ38" t="str">
        <f>IF(ISBLANK('LL1 Parser Table'!AL39),"ERRO",'LL1 Parser Table'!AL39)</f>
        <v>ERRO</v>
      </c>
      <c r="AK38" t="str">
        <f>IF(ISBLANK('LL1 Parser Table'!AM39),"ERRO",'LL1 Parser Table'!AM39)</f>
        <v>ERRO</v>
      </c>
      <c r="AL38" t="str">
        <f>IF(ISBLANK('LL1 Parser Table'!AN39),"ERRO",'LL1 Parser Table'!AN39)</f>
        <v>ERRO</v>
      </c>
      <c r="AM38" t="str">
        <f>IF(ISBLANK('LL1 Parser Table'!AO39),"ERRO",'LL1 Parser Table'!AO39)</f>
        <v>ERRO</v>
      </c>
      <c r="AN38" t="str">
        <f>IF(ISBLANK('LL1 Parser Table'!AP39),"ERRO",'LL1 Parser Table'!AP39)</f>
        <v>ExprIter -&gt; Expressao ExprIterBonus</v>
      </c>
      <c r="AO38" t="str">
        <f>IF(ISBLANK('LL1 Parser Table'!AQ39),"ERRO",'LL1 Parser Table'!AQ39)</f>
        <v>ExprIter -&gt; Expressao ExprIterBonus</v>
      </c>
      <c r="AP38" t="str">
        <f>IF(ISBLANK('LL1 Parser Table'!AR39),"ERRO",'LL1 Parser Table'!AR39)</f>
        <v>ExprIter -&gt; Expressao ExprIterBonus</v>
      </c>
      <c r="AQ38" t="str">
        <f>IF(ISBLANK('LL1 Parser Table'!AS39),"ERRO",'LL1 Parser Table'!AS39)</f>
        <v>ExprIter -&gt; Expressao ExprIterBonus</v>
      </c>
      <c r="AR38" t="str">
        <f>IF(ISBLANK('LL1 Parser Table'!AT39),"ERRO",'LL1 Parser Table'!AT39)</f>
        <v>ExprIter -&gt; Expressao ExprIterBonus</v>
      </c>
      <c r="AS38" t="str">
        <f>IF(ISBLANK('LL1 Parser Table'!AU39),"ERRO",'LL1 Parser Table'!AU39)</f>
        <v>ExprIter -&gt; Expressao ExprIterBonus</v>
      </c>
      <c r="AT38" t="str">
        <f>IF(ISBLANK('LL1 Parser Table'!AV39),"ERRO",'LL1 Parser Table'!AV39)</f>
        <v>ExprIter -&gt; Expressao ExprIterBonus</v>
      </c>
      <c r="AU38" t="str">
        <f>IF(ISBLANK('LL1 Parser Table'!AW39),"ERRO",'LL1 Parser Table'!AW39)</f>
        <v>ERRO</v>
      </c>
      <c r="AV38" t="str">
        <f>IF(ISBLANK('LL1 Parser Table'!AX39),"ERRO",'LL1 Parser Table'!AX39)</f>
        <v>ERRO</v>
      </c>
      <c r="AW38" t="str">
        <f>IF(ISBLANK('LL1 Parser Table'!AY39),"ERRO",'LL1 Parser Table'!AY39)</f>
        <v>ERRO</v>
      </c>
      <c r="AX38" t="str">
        <f>IF(ISBLANK('LL1 Parser Table'!AZ39),"ERRO",'LL1 Parser Table'!AZ39)</f>
        <v>ERRO</v>
      </c>
      <c r="AY38" t="str">
        <f>IF(ISBLANK('LL1 Parser Table'!BA39),"ERRO",'LL1 Parser Table'!BA39)</f>
        <v>ERRO</v>
      </c>
      <c r="AZ38" t="str">
        <f>IF(ISBLANK('LL1 Parser Table'!BB39),"ERRO",'LL1 Parser Table'!BB39)</f>
        <v>ExprIter -&gt; Expressao ExprIterBonus</v>
      </c>
      <c r="BA38" t="str">
        <f>IF(ISBLANK('LL1 Parser Table'!BC39),"ERRO",'LL1 Parser Table'!BC39)</f>
        <v>ExprIter -&gt; Expressao ExprIterBonus</v>
      </c>
      <c r="BB38" t="str">
        <f>IF(ISBLANK('LL1 Parser Table'!BD39),"ERRO",'LL1 Parser Table'!BD39)</f>
        <v>ExprIter -&gt; Expressao ExprIterBonus</v>
      </c>
      <c r="BC38" t="str">
        <f>IF(ISBLANK('LL1 Parser Table'!BE39),"ERRO",'LL1 Parser Table'!BE39)</f>
        <v>ExprIter -&gt; Expressao ExprIterBonus</v>
      </c>
      <c r="BD38" t="str">
        <f>IF(ISBLANK('LL1 Parser Table'!BF39),"ERRO",'LL1 Parser Table'!BF39)</f>
        <v>ExprIter -&gt; Expressao ExprIterBonus</v>
      </c>
      <c r="BE38" t="str">
        <f>IF(ISBLANK('LL1 Parser Table'!BG39),"ERRO",'LL1 Parser Table'!BG39)</f>
        <v>ERRO</v>
      </c>
    </row>
    <row r="39" spans="1:57" x14ac:dyDescent="0.35">
      <c r="A39">
        <v>38</v>
      </c>
      <c r="B39" s="8" t="str">
        <f>'LL1 Parser Table'!D40</f>
        <v>ExprIterBonus</v>
      </c>
      <c r="C39" t="str">
        <f>IF(ISBLANK('LL1 Parser Table'!E40),"ERRO",'LL1 Parser Table'!E40)</f>
        <v>ERRO</v>
      </c>
      <c r="D39" t="str">
        <f>IF(ISBLANK('LL1 Parser Table'!F40),"ERRO",'LL1 Parser Table'!F40)</f>
        <v>ERRO</v>
      </c>
      <c r="E39" t="str">
        <f>IF(ISBLANK('LL1 Parser Table'!G40),"ERRO",'LL1 Parser Table'!G40)</f>
        <v>ERRO</v>
      </c>
      <c r="F39" t="str">
        <f>IF(ISBLANK('LL1 Parser Table'!H40),"ERRO",'LL1 Parser Table'!H40)</f>
        <v>ERRO</v>
      </c>
      <c r="G39" t="str">
        <f>IF(ISBLANK('LL1 Parser Table'!I40),"ERRO",'LL1 Parser Table'!I40)</f>
        <v>ERRO</v>
      </c>
      <c r="H39" t="str">
        <f>IF(ISBLANK('LL1 Parser Table'!J40),"ERRO",'LL1 Parser Table'!J40)</f>
        <v>ERRO</v>
      </c>
      <c r="I39" t="str">
        <f>IF(ISBLANK('LL1 Parser Table'!K40),"ERRO",'LL1 Parser Table'!K40)</f>
        <v>ERRO</v>
      </c>
      <c r="J39" t="str">
        <f>IF(ISBLANK('LL1 Parser Table'!L40),"ERRO",'LL1 Parser Table'!L40)</f>
        <v>ERRO</v>
      </c>
      <c r="K39" t="str">
        <f>IF(ISBLANK('LL1 Parser Table'!M40),"ERRO",'LL1 Parser Table'!M40)</f>
        <v>ExprIterBonus -&gt; ''</v>
      </c>
      <c r="L39" t="str">
        <f>IF(ISBLANK('LL1 Parser Table'!N40),"ERRO",'LL1 Parser Table'!N40)</f>
        <v>ERRO</v>
      </c>
      <c r="M39" t="str">
        <f>IF(ISBLANK('LL1 Parser Table'!O40),"ERRO",'LL1 Parser Table'!O40)</f>
        <v>ERRO</v>
      </c>
      <c r="N39" t="str">
        <f>IF(ISBLANK('LL1 Parser Table'!P40),"ERRO",'LL1 Parser Table'!P40)</f>
        <v>ERRO</v>
      </c>
      <c r="O39" t="str">
        <f>IF(ISBLANK('LL1 Parser Table'!Q40),"ERRO",'LL1 Parser Table'!Q40)</f>
        <v>ERRO</v>
      </c>
      <c r="P39" t="str">
        <f>IF(ISBLANK('LL1 Parser Table'!R40),"ERRO",'LL1 Parser Table'!R40)</f>
        <v>ExprIterBonus -&gt; ''</v>
      </c>
      <c r="Q39" t="str">
        <f>IF(ISBLANK('LL1 Parser Table'!S40),"ERRO",'LL1 Parser Table'!S40)</f>
        <v>ExprIterBonus -&gt; , ExprIter</v>
      </c>
      <c r="R39" t="str">
        <f>IF(ISBLANK('LL1 Parser Table'!T40),"ERRO",'LL1 Parser Table'!T40)</f>
        <v>ERRO</v>
      </c>
      <c r="S39" t="str">
        <f>IF(ISBLANK('LL1 Parser Table'!U40),"ERRO",'LL1 Parser Table'!U40)</f>
        <v>ERRO</v>
      </c>
      <c r="T39" t="str">
        <f>IF(ISBLANK('LL1 Parser Table'!V40),"ERRO",'LL1 Parser Table'!V40)</f>
        <v>ERRO</v>
      </c>
      <c r="U39" t="str">
        <f>IF(ISBLANK('LL1 Parser Table'!W40),"ERRO",'LL1 Parser Table'!W40)</f>
        <v>ERRO</v>
      </c>
      <c r="V39" t="str">
        <f>IF(ISBLANK('LL1 Parser Table'!X40),"ERRO",'LL1 Parser Table'!X40)</f>
        <v>ERRO</v>
      </c>
      <c r="W39" t="str">
        <f>IF(ISBLANK('LL1 Parser Table'!Y40),"ERRO",'LL1 Parser Table'!Y40)</f>
        <v>ERRO</v>
      </c>
      <c r="X39" t="str">
        <f>IF(ISBLANK('LL1 Parser Table'!Z40),"ERRO",'LL1 Parser Table'!Z40)</f>
        <v>ERRO</v>
      </c>
      <c r="Y39" t="str">
        <f>IF(ISBLANK('LL1 Parser Table'!AA40),"ERRO",'LL1 Parser Table'!AA40)</f>
        <v>ERRO</v>
      </c>
      <c r="Z39" t="str">
        <f>IF(ISBLANK('LL1 Parser Table'!AB40),"ERRO",'LL1 Parser Table'!AB40)</f>
        <v>ERRO</v>
      </c>
      <c r="AA39" t="str">
        <f>IF(ISBLANK('LL1 Parser Table'!AC40),"ERRO",'LL1 Parser Table'!AC40)</f>
        <v>ERRO</v>
      </c>
      <c r="AB39" t="str">
        <f>IF(ISBLANK('LL1 Parser Table'!AD40),"ERRO",'LL1 Parser Table'!AD40)</f>
        <v>ERRO</v>
      </c>
      <c r="AC39" t="str">
        <f>IF(ISBLANK('LL1 Parser Table'!AE40),"ERRO",'LL1 Parser Table'!AE40)</f>
        <v>ERRO</v>
      </c>
      <c r="AD39" t="str">
        <f>IF(ISBLANK('LL1 Parser Table'!AF40),"ERRO",'LL1 Parser Table'!AF40)</f>
        <v>ERRO</v>
      </c>
      <c r="AE39" t="str">
        <f>IF(ISBLANK('LL1 Parser Table'!AG40),"ERRO",'LL1 Parser Table'!AG40)</f>
        <v>ERRO</v>
      </c>
      <c r="AF39" t="str">
        <f>IF(ISBLANK('LL1 Parser Table'!AH40),"ERRO",'LL1 Parser Table'!AH40)</f>
        <v>ERRO</v>
      </c>
      <c r="AG39" t="str">
        <f>IF(ISBLANK('LL1 Parser Table'!AI40),"ERRO",'LL1 Parser Table'!AI40)</f>
        <v>ERRO</v>
      </c>
      <c r="AH39" t="str">
        <f>IF(ISBLANK('LL1 Parser Table'!AJ40),"ERRO",'LL1 Parser Table'!AJ40)</f>
        <v>ERRO</v>
      </c>
      <c r="AI39" t="str">
        <f>IF(ISBLANK('LL1 Parser Table'!AK40),"ERRO",'LL1 Parser Table'!AK40)</f>
        <v>ERRO</v>
      </c>
      <c r="AJ39" t="str">
        <f>IF(ISBLANK('LL1 Parser Table'!AL40),"ERRO",'LL1 Parser Table'!AL40)</f>
        <v>ERRO</v>
      </c>
      <c r="AK39" t="str">
        <f>IF(ISBLANK('LL1 Parser Table'!AM40),"ERRO",'LL1 Parser Table'!AM40)</f>
        <v>ERRO</v>
      </c>
      <c r="AL39" t="str">
        <f>IF(ISBLANK('LL1 Parser Table'!AN40),"ERRO",'LL1 Parser Table'!AN40)</f>
        <v>ERRO</v>
      </c>
      <c r="AM39" t="str">
        <f>IF(ISBLANK('LL1 Parser Table'!AO40),"ERRO",'LL1 Parser Table'!AO40)</f>
        <v>ERRO</v>
      </c>
      <c r="AN39" t="str">
        <f>IF(ISBLANK('LL1 Parser Table'!AP40),"ERRO",'LL1 Parser Table'!AP40)</f>
        <v>ERRO</v>
      </c>
      <c r="AO39" t="str">
        <f>IF(ISBLANK('LL1 Parser Table'!AQ40),"ERRO",'LL1 Parser Table'!AQ40)</f>
        <v>ERRO</v>
      </c>
      <c r="AP39" t="str">
        <f>IF(ISBLANK('LL1 Parser Table'!AR40),"ERRO",'LL1 Parser Table'!AR40)</f>
        <v>ERRO</v>
      </c>
      <c r="AQ39" t="str">
        <f>IF(ISBLANK('LL1 Parser Table'!AS40),"ERRO",'LL1 Parser Table'!AS40)</f>
        <v>ERRO</v>
      </c>
      <c r="AR39" t="str">
        <f>IF(ISBLANK('LL1 Parser Table'!AT40),"ERRO",'LL1 Parser Table'!AT40)</f>
        <v>ERRO</v>
      </c>
      <c r="AS39" t="str">
        <f>IF(ISBLANK('LL1 Parser Table'!AU40),"ERRO",'LL1 Parser Table'!AU40)</f>
        <v>ERRO</v>
      </c>
      <c r="AT39" t="str">
        <f>IF(ISBLANK('LL1 Parser Table'!AV40),"ERRO",'LL1 Parser Table'!AV40)</f>
        <v>ERRO</v>
      </c>
      <c r="AU39" t="str">
        <f>IF(ISBLANK('LL1 Parser Table'!AW40),"ERRO",'LL1 Parser Table'!AW40)</f>
        <v>ERRO</v>
      </c>
      <c r="AV39" t="str">
        <f>IF(ISBLANK('LL1 Parser Table'!AX40),"ERRO",'LL1 Parser Table'!AX40)</f>
        <v>ERRO</v>
      </c>
      <c r="AW39" t="str">
        <f>IF(ISBLANK('LL1 Parser Table'!AY40),"ERRO",'LL1 Parser Table'!AY40)</f>
        <v>ERRO</v>
      </c>
      <c r="AX39" t="str">
        <f>IF(ISBLANK('LL1 Parser Table'!AZ40),"ERRO",'LL1 Parser Table'!AZ40)</f>
        <v>ERRO</v>
      </c>
      <c r="AY39" t="str">
        <f>IF(ISBLANK('LL1 Parser Table'!BA40),"ERRO",'LL1 Parser Table'!BA40)</f>
        <v>ERRO</v>
      </c>
      <c r="AZ39" t="str">
        <f>IF(ISBLANK('LL1 Parser Table'!BB40),"ERRO",'LL1 Parser Table'!BB40)</f>
        <v>ERRO</v>
      </c>
      <c r="BA39" t="str">
        <f>IF(ISBLANK('LL1 Parser Table'!BC40),"ERRO",'LL1 Parser Table'!BC40)</f>
        <v>ERRO</v>
      </c>
      <c r="BB39" t="str">
        <f>IF(ISBLANK('LL1 Parser Table'!BD40),"ERRO",'LL1 Parser Table'!BD40)</f>
        <v>ERRO</v>
      </c>
      <c r="BC39" t="str">
        <f>IF(ISBLANK('LL1 Parser Table'!BE40),"ERRO",'LL1 Parser Table'!BE40)</f>
        <v>ERRO</v>
      </c>
      <c r="BD39" t="str">
        <f>IF(ISBLANK('LL1 Parser Table'!BF40),"ERRO",'LL1 Parser Table'!BF40)</f>
        <v>ERRO</v>
      </c>
      <c r="BE39" t="str">
        <f>IF(ISBLANK('LL1 Parser Table'!BG40),"ERRO",'LL1 Parser Table'!BG40)</f>
        <v>ERRO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DFE9-93B7-427D-AA82-3D202CB3F68F}">
  <dimension ref="B2:BP92"/>
  <sheetViews>
    <sheetView tabSelected="1" topLeftCell="G1" zoomScale="74" zoomScaleNormal="74" workbookViewId="0">
      <selection activeCell="H7" sqref="H7"/>
    </sheetView>
  </sheetViews>
  <sheetFormatPr defaultRowHeight="14.5" x14ac:dyDescent="0.35"/>
  <cols>
    <col min="2" max="2" width="26.26953125" customWidth="1"/>
    <col min="5" max="5" width="19.54296875" customWidth="1"/>
    <col min="8" max="8" width="97.453125" customWidth="1"/>
  </cols>
  <sheetData>
    <row r="2" spans="2:68" x14ac:dyDescent="0.35">
      <c r="B2" s="10" t="s">
        <v>134</v>
      </c>
      <c r="C2" s="10" t="s">
        <v>292</v>
      </c>
      <c r="E2" s="10" t="s">
        <v>294</v>
      </c>
      <c r="F2" s="10" t="s">
        <v>292</v>
      </c>
      <c r="H2" s="10" t="s">
        <v>293</v>
      </c>
      <c r="I2" s="10" t="s">
        <v>292</v>
      </c>
      <c r="N2" t="s">
        <v>49</v>
      </c>
      <c r="O2" t="s">
        <v>122</v>
      </c>
      <c r="P2" t="s">
        <v>109</v>
      </c>
      <c r="Q2" t="s">
        <v>112</v>
      </c>
      <c r="R2" t="s">
        <v>61</v>
      </c>
      <c r="S2" t="s">
        <v>60</v>
      </c>
      <c r="T2" t="s">
        <v>111</v>
      </c>
      <c r="U2" t="s">
        <v>115</v>
      </c>
      <c r="V2" t="s">
        <v>116</v>
      </c>
      <c r="W2" t="s">
        <v>52</v>
      </c>
      <c r="X2" t="s">
        <v>59</v>
      </c>
      <c r="Y2" t="s">
        <v>117</v>
      </c>
      <c r="Z2" t="s">
        <v>113</v>
      </c>
      <c r="AA2" t="s">
        <v>114</v>
      </c>
      <c r="AB2" t="s">
        <v>110</v>
      </c>
      <c r="AC2" t="s">
        <v>57</v>
      </c>
      <c r="AD2" t="s">
        <v>58</v>
      </c>
      <c r="AE2" t="s">
        <v>123</v>
      </c>
      <c r="AF2" t="s">
        <v>53</v>
      </c>
      <c r="AG2" t="s">
        <v>54</v>
      </c>
      <c r="AH2" t="s">
        <v>55</v>
      </c>
      <c r="AI2" t="s">
        <v>56</v>
      </c>
      <c r="AJ2" t="s">
        <v>50</v>
      </c>
      <c r="AK2" t="s">
        <v>51</v>
      </c>
      <c r="AL2" t="s">
        <v>81</v>
      </c>
      <c r="AM2" t="s">
        <v>62</v>
      </c>
      <c r="AN2" t="s">
        <v>63</v>
      </c>
      <c r="AO2" t="s">
        <v>64</v>
      </c>
      <c r="AP2" t="s">
        <v>65</v>
      </c>
      <c r="AQ2" t="s">
        <v>66</v>
      </c>
      <c r="AR2" t="s">
        <v>67</v>
      </c>
      <c r="AS2" t="s">
        <v>68</v>
      </c>
      <c r="AT2" t="s">
        <v>69</v>
      </c>
      <c r="AU2" t="s">
        <v>70</v>
      </c>
      <c r="AV2" t="s">
        <v>71</v>
      </c>
      <c r="AW2" t="s">
        <v>72</v>
      </c>
      <c r="AX2" t="s">
        <v>73</v>
      </c>
      <c r="AY2" t="s">
        <v>78</v>
      </c>
      <c r="AZ2" t="s">
        <v>96</v>
      </c>
      <c r="BA2" t="s">
        <v>80</v>
      </c>
      <c r="BB2" t="s">
        <v>79</v>
      </c>
      <c r="BC2" t="s">
        <v>97</v>
      </c>
      <c r="BD2" t="s">
        <v>118</v>
      </c>
      <c r="BE2" t="s">
        <v>119</v>
      </c>
      <c r="BF2" t="s">
        <v>75</v>
      </c>
      <c r="BG2" t="s">
        <v>120</v>
      </c>
      <c r="BH2" t="s">
        <v>121</v>
      </c>
      <c r="BI2" t="s">
        <v>77</v>
      </c>
      <c r="BJ2" t="s">
        <v>74</v>
      </c>
      <c r="BK2" t="s">
        <v>135</v>
      </c>
      <c r="BL2" t="s">
        <v>124</v>
      </c>
      <c r="BM2" t="b">
        <v>1</v>
      </c>
      <c r="BN2" t="b">
        <v>0</v>
      </c>
      <c r="BO2" t="s">
        <v>125</v>
      </c>
      <c r="BP2" t="s">
        <v>136</v>
      </c>
    </row>
    <row r="3" spans="2:68" x14ac:dyDescent="0.35">
      <c r="B3" t="s">
        <v>25</v>
      </c>
      <c r="C3" s="9">
        <v>1</v>
      </c>
      <c r="E3" t="s">
        <v>49</v>
      </c>
      <c r="F3">
        <v>1</v>
      </c>
      <c r="H3" t="s">
        <v>139</v>
      </c>
      <c r="I3">
        <v>1</v>
      </c>
    </row>
    <row r="4" spans="2:68" x14ac:dyDescent="0.35">
      <c r="B4" t="s">
        <v>28</v>
      </c>
      <c r="C4" s="9">
        <v>2</v>
      </c>
      <c r="E4" t="s">
        <v>122</v>
      </c>
      <c r="F4">
        <v>2</v>
      </c>
      <c r="H4" t="s">
        <v>142</v>
      </c>
      <c r="I4">
        <v>2</v>
      </c>
    </row>
    <row r="5" spans="2:68" x14ac:dyDescent="0.35">
      <c r="B5" t="s">
        <v>29</v>
      </c>
      <c r="C5" s="9">
        <v>3</v>
      </c>
      <c r="E5" t="s">
        <v>109</v>
      </c>
      <c r="F5">
        <v>3</v>
      </c>
      <c r="H5" t="s">
        <v>143</v>
      </c>
      <c r="I5">
        <v>3</v>
      </c>
    </row>
    <row r="6" spans="2:68" x14ac:dyDescent="0.35">
      <c r="B6" t="s">
        <v>30</v>
      </c>
      <c r="C6" s="9">
        <v>4</v>
      </c>
      <c r="E6" t="s">
        <v>112</v>
      </c>
      <c r="F6">
        <v>4</v>
      </c>
      <c r="H6" t="s">
        <v>144</v>
      </c>
      <c r="I6">
        <v>4</v>
      </c>
    </row>
    <row r="7" spans="2:68" x14ac:dyDescent="0.35">
      <c r="B7" t="s">
        <v>31</v>
      </c>
      <c r="C7" s="9">
        <v>5</v>
      </c>
      <c r="E7" t="s">
        <v>61</v>
      </c>
      <c r="F7">
        <v>5</v>
      </c>
      <c r="H7" t="s">
        <v>147</v>
      </c>
      <c r="I7">
        <v>5</v>
      </c>
    </row>
    <row r="8" spans="2:68" x14ac:dyDescent="0.35">
      <c r="B8" t="s">
        <v>32</v>
      </c>
      <c r="C8" s="9">
        <v>6</v>
      </c>
      <c r="E8" t="s">
        <v>60</v>
      </c>
      <c r="F8">
        <v>6</v>
      </c>
      <c r="H8" t="s">
        <v>149</v>
      </c>
      <c r="I8">
        <v>6</v>
      </c>
    </row>
    <row r="9" spans="2:68" x14ac:dyDescent="0.35">
      <c r="B9" t="s">
        <v>26</v>
      </c>
      <c r="C9" s="9">
        <v>7</v>
      </c>
      <c r="E9" t="s">
        <v>111</v>
      </c>
      <c r="F9">
        <v>7</v>
      </c>
      <c r="H9" t="s">
        <v>153</v>
      </c>
      <c r="I9">
        <v>7</v>
      </c>
    </row>
    <row r="10" spans="2:68" x14ac:dyDescent="0.35">
      <c r="B10" t="s">
        <v>34</v>
      </c>
      <c r="C10" s="9">
        <v>8</v>
      </c>
      <c r="E10" t="s">
        <v>115</v>
      </c>
      <c r="F10">
        <v>8</v>
      </c>
      <c r="H10" t="s">
        <v>152</v>
      </c>
      <c r="I10">
        <v>8</v>
      </c>
    </row>
    <row r="11" spans="2:68" x14ac:dyDescent="0.35">
      <c r="B11" t="s">
        <v>165</v>
      </c>
      <c r="C11" s="9">
        <v>9</v>
      </c>
      <c r="E11" t="s">
        <v>116</v>
      </c>
      <c r="F11">
        <v>9</v>
      </c>
      <c r="H11" t="s">
        <v>156</v>
      </c>
      <c r="I11">
        <v>9</v>
      </c>
    </row>
    <row r="12" spans="2:68" x14ac:dyDescent="0.35">
      <c r="B12" t="s">
        <v>169</v>
      </c>
      <c r="C12" s="9">
        <v>10</v>
      </c>
      <c r="E12" t="s">
        <v>52</v>
      </c>
      <c r="F12">
        <v>10</v>
      </c>
      <c r="H12" t="s">
        <v>157</v>
      </c>
      <c r="I12">
        <v>10</v>
      </c>
    </row>
    <row r="13" spans="2:68" x14ac:dyDescent="0.35">
      <c r="B13" t="s">
        <v>36</v>
      </c>
      <c r="C13" s="9">
        <v>11</v>
      </c>
      <c r="E13" t="s">
        <v>59</v>
      </c>
      <c r="F13">
        <v>11</v>
      </c>
      <c r="H13" t="s">
        <v>161</v>
      </c>
      <c r="I13">
        <v>11</v>
      </c>
    </row>
    <row r="14" spans="2:68" x14ac:dyDescent="0.35">
      <c r="B14" t="s">
        <v>35</v>
      </c>
      <c r="C14" s="9">
        <v>12</v>
      </c>
      <c r="E14" t="s">
        <v>117</v>
      </c>
      <c r="F14">
        <v>12</v>
      </c>
      <c r="H14" t="s">
        <v>160</v>
      </c>
      <c r="I14">
        <v>12</v>
      </c>
    </row>
    <row r="15" spans="2:68" x14ac:dyDescent="0.35">
      <c r="B15" t="s">
        <v>33</v>
      </c>
      <c r="C15" s="9">
        <v>13</v>
      </c>
      <c r="E15" t="s">
        <v>113</v>
      </c>
      <c r="F15">
        <v>13</v>
      </c>
      <c r="H15" t="s">
        <v>164</v>
      </c>
      <c r="I15">
        <v>13</v>
      </c>
    </row>
    <row r="16" spans="2:68" x14ac:dyDescent="0.35">
      <c r="B16" t="s">
        <v>180</v>
      </c>
      <c r="C16" s="9">
        <v>14</v>
      </c>
      <c r="E16" t="s">
        <v>114</v>
      </c>
      <c r="F16">
        <v>14</v>
      </c>
      <c r="H16" t="s">
        <v>166</v>
      </c>
      <c r="I16">
        <v>14</v>
      </c>
    </row>
    <row r="17" spans="2:9" x14ac:dyDescent="0.35">
      <c r="B17" t="s">
        <v>37</v>
      </c>
      <c r="C17" s="9">
        <v>15</v>
      </c>
      <c r="E17" t="s">
        <v>110</v>
      </c>
      <c r="F17">
        <v>15</v>
      </c>
      <c r="H17" t="s">
        <v>167</v>
      </c>
      <c r="I17">
        <v>15</v>
      </c>
    </row>
    <row r="18" spans="2:9" x14ac:dyDescent="0.35">
      <c r="B18" t="s">
        <v>38</v>
      </c>
      <c r="C18" s="9">
        <v>16</v>
      </c>
      <c r="E18" t="s">
        <v>57</v>
      </c>
      <c r="F18">
        <v>16</v>
      </c>
      <c r="H18" t="s">
        <v>171</v>
      </c>
      <c r="I18">
        <v>16</v>
      </c>
    </row>
    <row r="19" spans="2:9" x14ac:dyDescent="0.35">
      <c r="B19" t="s">
        <v>190</v>
      </c>
      <c r="C19" s="9">
        <v>17</v>
      </c>
      <c r="E19" t="s">
        <v>58</v>
      </c>
      <c r="F19">
        <v>17</v>
      </c>
      <c r="H19" t="s">
        <v>170</v>
      </c>
      <c r="I19">
        <v>17</v>
      </c>
    </row>
    <row r="20" spans="2:9" x14ac:dyDescent="0.35">
      <c r="B20" t="s">
        <v>39</v>
      </c>
      <c r="C20" s="9">
        <v>18</v>
      </c>
      <c r="E20" t="s">
        <v>123</v>
      </c>
      <c r="F20">
        <v>18</v>
      </c>
      <c r="H20" t="s">
        <v>173</v>
      </c>
      <c r="I20">
        <v>18</v>
      </c>
    </row>
    <row r="21" spans="2:9" x14ac:dyDescent="0.35">
      <c r="B21" t="s">
        <v>27</v>
      </c>
      <c r="C21" s="9">
        <v>19</v>
      </c>
      <c r="E21" t="s">
        <v>53</v>
      </c>
      <c r="F21">
        <v>19</v>
      </c>
      <c r="H21" t="s">
        <v>175</v>
      </c>
      <c r="I21">
        <v>19</v>
      </c>
    </row>
    <row r="22" spans="2:9" x14ac:dyDescent="0.35">
      <c r="B22" t="s">
        <v>40</v>
      </c>
      <c r="C22" s="9">
        <v>20</v>
      </c>
      <c r="E22" t="s">
        <v>54</v>
      </c>
      <c r="F22">
        <v>20</v>
      </c>
      <c r="H22" t="s">
        <v>178</v>
      </c>
      <c r="I22">
        <v>20</v>
      </c>
    </row>
    <row r="23" spans="2:9" x14ac:dyDescent="0.35">
      <c r="B23" t="s">
        <v>204</v>
      </c>
      <c r="C23" s="9">
        <v>21</v>
      </c>
      <c r="E23" t="s">
        <v>55</v>
      </c>
      <c r="F23">
        <v>21</v>
      </c>
      <c r="H23" t="s">
        <v>182</v>
      </c>
      <c r="I23">
        <v>21</v>
      </c>
    </row>
    <row r="24" spans="2:9" x14ac:dyDescent="0.35">
      <c r="B24" t="s">
        <v>41</v>
      </c>
      <c r="C24" s="9">
        <v>22</v>
      </c>
      <c r="E24" t="s">
        <v>56</v>
      </c>
      <c r="F24">
        <v>22</v>
      </c>
      <c r="H24" t="s">
        <v>181</v>
      </c>
      <c r="I24">
        <v>22</v>
      </c>
    </row>
    <row r="25" spans="2:9" x14ac:dyDescent="0.35">
      <c r="B25" t="s">
        <v>216</v>
      </c>
      <c r="C25" s="9">
        <v>23</v>
      </c>
      <c r="E25" t="s">
        <v>50</v>
      </c>
      <c r="F25">
        <v>23</v>
      </c>
      <c r="H25" t="s">
        <v>185</v>
      </c>
      <c r="I25">
        <v>23</v>
      </c>
    </row>
    <row r="26" spans="2:9" x14ac:dyDescent="0.35">
      <c r="B26" t="s">
        <v>223</v>
      </c>
      <c r="C26" s="9">
        <v>24</v>
      </c>
      <c r="E26" t="s">
        <v>51</v>
      </c>
      <c r="F26">
        <v>24</v>
      </c>
      <c r="H26" t="s">
        <v>186</v>
      </c>
      <c r="I26">
        <v>24</v>
      </c>
    </row>
    <row r="27" spans="2:9" x14ac:dyDescent="0.35">
      <c r="B27" t="s">
        <v>228</v>
      </c>
      <c r="C27" s="9">
        <v>25</v>
      </c>
      <c r="E27" t="s">
        <v>81</v>
      </c>
      <c r="F27">
        <v>25</v>
      </c>
      <c r="H27" t="s">
        <v>189</v>
      </c>
      <c r="I27">
        <v>25</v>
      </c>
    </row>
    <row r="28" spans="2:9" x14ac:dyDescent="0.35">
      <c r="B28" t="s">
        <v>44</v>
      </c>
      <c r="C28" s="9">
        <v>26</v>
      </c>
      <c r="E28" t="s">
        <v>62</v>
      </c>
      <c r="F28">
        <v>26</v>
      </c>
      <c r="H28" t="s">
        <v>192</v>
      </c>
      <c r="I28">
        <v>26</v>
      </c>
    </row>
    <row r="29" spans="2:9" x14ac:dyDescent="0.35">
      <c r="B29" t="s">
        <v>235</v>
      </c>
      <c r="C29" s="9">
        <v>27</v>
      </c>
      <c r="E29" t="s">
        <v>63</v>
      </c>
      <c r="F29">
        <v>27</v>
      </c>
      <c r="H29" t="s">
        <v>191</v>
      </c>
      <c r="I29">
        <v>27</v>
      </c>
    </row>
    <row r="30" spans="2:9" x14ac:dyDescent="0.35">
      <c r="B30" t="s">
        <v>45</v>
      </c>
      <c r="C30" s="9">
        <v>28</v>
      </c>
      <c r="E30" t="s">
        <v>64</v>
      </c>
      <c r="F30">
        <v>28</v>
      </c>
      <c r="H30" t="s">
        <v>194</v>
      </c>
      <c r="I30">
        <v>28</v>
      </c>
    </row>
    <row r="31" spans="2:9" x14ac:dyDescent="0.35">
      <c r="B31" t="s">
        <v>248</v>
      </c>
      <c r="C31" s="9">
        <v>29</v>
      </c>
      <c r="E31" t="s">
        <v>65</v>
      </c>
      <c r="F31">
        <v>29</v>
      </c>
      <c r="H31" t="s">
        <v>195</v>
      </c>
      <c r="I31">
        <v>29</v>
      </c>
    </row>
    <row r="32" spans="2:9" x14ac:dyDescent="0.35">
      <c r="B32" t="s">
        <v>253</v>
      </c>
      <c r="C32" s="9">
        <v>30</v>
      </c>
      <c r="E32" t="s">
        <v>66</v>
      </c>
      <c r="F32">
        <v>30</v>
      </c>
      <c r="H32" t="s">
        <v>196</v>
      </c>
      <c r="I32">
        <v>30</v>
      </c>
    </row>
    <row r="33" spans="2:9" x14ac:dyDescent="0.35">
      <c r="B33" t="s">
        <v>46</v>
      </c>
      <c r="C33" s="9">
        <v>31</v>
      </c>
      <c r="E33" t="s">
        <v>67</v>
      </c>
      <c r="F33">
        <v>31</v>
      </c>
      <c r="H33" t="s">
        <v>197</v>
      </c>
      <c r="I33">
        <v>31</v>
      </c>
    </row>
    <row r="34" spans="2:9" x14ac:dyDescent="0.35">
      <c r="B34" t="s">
        <v>261</v>
      </c>
      <c r="C34" s="9">
        <v>32</v>
      </c>
      <c r="E34" t="s">
        <v>68</v>
      </c>
      <c r="F34">
        <v>32</v>
      </c>
      <c r="H34" t="s">
        <v>193</v>
      </c>
      <c r="I34">
        <v>32</v>
      </c>
    </row>
    <row r="35" spans="2:9" x14ac:dyDescent="0.35">
      <c r="B35" t="s">
        <v>47</v>
      </c>
      <c r="C35" s="9">
        <v>33</v>
      </c>
      <c r="E35" t="s">
        <v>69</v>
      </c>
      <c r="F35">
        <v>33</v>
      </c>
      <c r="H35" t="s">
        <v>199</v>
      </c>
      <c r="I35">
        <v>33</v>
      </c>
    </row>
    <row r="36" spans="2:9" x14ac:dyDescent="0.35">
      <c r="B36" t="s">
        <v>277</v>
      </c>
      <c r="C36" s="9">
        <v>34</v>
      </c>
      <c r="E36" t="s">
        <v>70</v>
      </c>
      <c r="F36">
        <v>34</v>
      </c>
      <c r="H36" t="s">
        <v>202</v>
      </c>
      <c r="I36">
        <v>34</v>
      </c>
    </row>
    <row r="37" spans="2:9" x14ac:dyDescent="0.35">
      <c r="B37" t="s">
        <v>43</v>
      </c>
      <c r="C37" s="9">
        <v>35</v>
      </c>
      <c r="E37" t="s">
        <v>71</v>
      </c>
      <c r="F37">
        <v>35</v>
      </c>
      <c r="H37" t="s">
        <v>205</v>
      </c>
      <c r="I37">
        <v>35</v>
      </c>
    </row>
    <row r="38" spans="2:9" x14ac:dyDescent="0.35">
      <c r="B38" t="s">
        <v>283</v>
      </c>
      <c r="C38" s="9">
        <v>36</v>
      </c>
      <c r="E38" t="s">
        <v>72</v>
      </c>
      <c r="F38">
        <v>36</v>
      </c>
      <c r="H38" t="s">
        <v>206</v>
      </c>
      <c r="I38">
        <v>36</v>
      </c>
    </row>
    <row r="39" spans="2:9" x14ac:dyDescent="0.35">
      <c r="B39" t="s">
        <v>42</v>
      </c>
      <c r="C39" s="9">
        <v>37</v>
      </c>
      <c r="E39" t="s">
        <v>73</v>
      </c>
      <c r="F39">
        <v>37</v>
      </c>
      <c r="H39" t="s">
        <v>208</v>
      </c>
      <c r="I39">
        <v>37</v>
      </c>
    </row>
    <row r="40" spans="2:9" x14ac:dyDescent="0.35">
      <c r="B40" t="s">
        <v>289</v>
      </c>
      <c r="C40" s="9">
        <v>38</v>
      </c>
      <c r="E40" t="s">
        <v>78</v>
      </c>
      <c r="F40">
        <v>38</v>
      </c>
      <c r="H40" t="s">
        <v>217</v>
      </c>
      <c r="I40">
        <v>38</v>
      </c>
    </row>
    <row r="41" spans="2:9" x14ac:dyDescent="0.35">
      <c r="E41" t="s">
        <v>96</v>
      </c>
      <c r="F41">
        <v>39</v>
      </c>
      <c r="H41" t="s">
        <v>218</v>
      </c>
      <c r="I41">
        <v>39</v>
      </c>
    </row>
    <row r="42" spans="2:9" x14ac:dyDescent="0.35">
      <c r="E42" t="s">
        <v>80</v>
      </c>
      <c r="F42">
        <v>40</v>
      </c>
      <c r="H42" t="s">
        <v>220</v>
      </c>
      <c r="I42">
        <v>40</v>
      </c>
    </row>
    <row r="43" spans="2:9" x14ac:dyDescent="0.35">
      <c r="E43" t="s">
        <v>79</v>
      </c>
      <c r="F43">
        <v>41</v>
      </c>
      <c r="H43" t="s">
        <v>219</v>
      </c>
      <c r="I43">
        <v>41</v>
      </c>
    </row>
    <row r="44" spans="2:9" x14ac:dyDescent="0.35">
      <c r="E44" t="s">
        <v>97</v>
      </c>
      <c r="F44">
        <v>42</v>
      </c>
      <c r="H44" t="s">
        <v>209</v>
      </c>
      <c r="I44">
        <v>42</v>
      </c>
    </row>
    <row r="45" spans="2:9" x14ac:dyDescent="0.35">
      <c r="B45" t="str">
        <f>UPPER(B3)</f>
        <v>PROGRAMA</v>
      </c>
      <c r="C45">
        <f>C3</f>
        <v>1</v>
      </c>
      <c r="E45" t="s">
        <v>118</v>
      </c>
      <c r="F45">
        <v>43</v>
      </c>
      <c r="H45" t="s">
        <v>225</v>
      </c>
      <c r="I45">
        <v>43</v>
      </c>
    </row>
    <row r="46" spans="2:9" x14ac:dyDescent="0.35">
      <c r="B46" t="str">
        <f t="shared" ref="B46:B82" si="0">UPPER(B4)</f>
        <v>PROCEDIMENTOFUNCAO</v>
      </c>
      <c r="C46">
        <f t="shared" ref="C46:C82" si="1">C4</f>
        <v>2</v>
      </c>
      <c r="E46" t="s">
        <v>119</v>
      </c>
      <c r="F46">
        <v>44</v>
      </c>
      <c r="H46" t="s">
        <v>224</v>
      </c>
      <c r="I46">
        <v>44</v>
      </c>
    </row>
    <row r="47" spans="2:9" x14ac:dyDescent="0.35">
      <c r="B47" t="str">
        <f t="shared" si="0"/>
        <v>DECLARAPROCEDIMENTO</v>
      </c>
      <c r="C47">
        <f t="shared" si="1"/>
        <v>3</v>
      </c>
      <c r="E47" t="s">
        <v>75</v>
      </c>
      <c r="F47">
        <v>45</v>
      </c>
      <c r="H47" t="s">
        <v>210</v>
      </c>
      <c r="I47">
        <v>45</v>
      </c>
    </row>
    <row r="48" spans="2:9" x14ac:dyDescent="0.35">
      <c r="B48" t="str">
        <f t="shared" si="0"/>
        <v>DECLARAFUNCAO</v>
      </c>
      <c r="C48">
        <f t="shared" si="1"/>
        <v>4</v>
      </c>
      <c r="E48" t="s">
        <v>120</v>
      </c>
      <c r="F48">
        <v>46</v>
      </c>
      <c r="H48" t="s">
        <v>211</v>
      </c>
      <c r="I48">
        <v>46</v>
      </c>
    </row>
    <row r="49" spans="2:9" x14ac:dyDescent="0.35">
      <c r="B49" t="str">
        <f t="shared" si="0"/>
        <v>PARAMETROS</v>
      </c>
      <c r="C49">
        <f t="shared" si="1"/>
        <v>5</v>
      </c>
      <c r="E49" t="s">
        <v>121</v>
      </c>
      <c r="F49">
        <v>47</v>
      </c>
      <c r="H49" t="s">
        <v>230</v>
      </c>
      <c r="I49">
        <v>47</v>
      </c>
    </row>
    <row r="50" spans="2:9" x14ac:dyDescent="0.35">
      <c r="B50" t="str">
        <f t="shared" si="0"/>
        <v>DECLARAPARAMETROS</v>
      </c>
      <c r="C50">
        <f t="shared" si="1"/>
        <v>6</v>
      </c>
      <c r="E50" t="s">
        <v>77</v>
      </c>
      <c r="F50">
        <v>48</v>
      </c>
      <c r="H50" t="s">
        <v>229</v>
      </c>
      <c r="I50">
        <v>48</v>
      </c>
    </row>
    <row r="51" spans="2:9" x14ac:dyDescent="0.35">
      <c r="B51" t="str">
        <f t="shared" si="0"/>
        <v>BLOCOVARIAVEIS</v>
      </c>
      <c r="C51">
        <f t="shared" si="1"/>
        <v>7</v>
      </c>
      <c r="E51" t="s">
        <v>74</v>
      </c>
      <c r="F51">
        <v>49</v>
      </c>
      <c r="H51" t="s">
        <v>212</v>
      </c>
      <c r="I51">
        <v>49</v>
      </c>
    </row>
    <row r="52" spans="2:9" x14ac:dyDescent="0.35">
      <c r="B52" t="str">
        <f t="shared" si="0"/>
        <v>DECLARACOES</v>
      </c>
      <c r="C52">
        <f t="shared" si="1"/>
        <v>8</v>
      </c>
      <c r="E52" t="s">
        <v>135</v>
      </c>
      <c r="F52">
        <v>50</v>
      </c>
      <c r="H52" t="s">
        <v>213</v>
      </c>
      <c r="I52">
        <v>50</v>
      </c>
    </row>
    <row r="53" spans="2:9" x14ac:dyDescent="0.35">
      <c r="B53" t="str">
        <f t="shared" si="0"/>
        <v>DECLARACOESBONUS</v>
      </c>
      <c r="C53">
        <f t="shared" si="1"/>
        <v>9</v>
      </c>
      <c r="E53" t="s">
        <v>124</v>
      </c>
      <c r="F53">
        <v>51</v>
      </c>
      <c r="H53" t="s">
        <v>214</v>
      </c>
      <c r="I53">
        <v>51</v>
      </c>
    </row>
    <row r="54" spans="2:9" x14ac:dyDescent="0.35">
      <c r="B54" t="str">
        <f t="shared" si="0"/>
        <v>DECLARATIONS</v>
      </c>
      <c r="C54">
        <f t="shared" si="1"/>
        <v>10</v>
      </c>
      <c r="E54" t="b">
        <v>1</v>
      </c>
      <c r="F54">
        <v>52</v>
      </c>
      <c r="H54" t="s">
        <v>233</v>
      </c>
      <c r="I54">
        <v>52</v>
      </c>
    </row>
    <row r="55" spans="2:9" x14ac:dyDescent="0.35">
      <c r="B55" t="str">
        <f t="shared" si="0"/>
        <v>DECLARATIPO</v>
      </c>
      <c r="C55">
        <f t="shared" si="1"/>
        <v>11</v>
      </c>
      <c r="E55" t="b">
        <v>0</v>
      </c>
      <c r="F55">
        <v>53</v>
      </c>
      <c r="H55" t="s">
        <v>237</v>
      </c>
      <c r="I55">
        <v>53</v>
      </c>
    </row>
    <row r="56" spans="2:9" x14ac:dyDescent="0.35">
      <c r="B56" t="str">
        <f t="shared" si="0"/>
        <v>DECLARAVARIAVEIS</v>
      </c>
      <c r="C56">
        <f t="shared" si="1"/>
        <v>12</v>
      </c>
      <c r="E56" t="s">
        <v>125</v>
      </c>
      <c r="F56">
        <v>54</v>
      </c>
      <c r="H56" t="s">
        <v>238</v>
      </c>
      <c r="I56">
        <v>54</v>
      </c>
    </row>
    <row r="57" spans="2:9" x14ac:dyDescent="0.35">
      <c r="B57" t="str">
        <f t="shared" si="0"/>
        <v>DECLARAIDENTIFICADOR</v>
      </c>
      <c r="C57">
        <f t="shared" si="1"/>
        <v>13</v>
      </c>
      <c r="E57" t="s">
        <v>136</v>
      </c>
      <c r="F57">
        <v>55</v>
      </c>
      <c r="H57" t="s">
        <v>239</v>
      </c>
      <c r="I57">
        <v>55</v>
      </c>
    </row>
    <row r="58" spans="2:9" x14ac:dyDescent="0.35">
      <c r="B58" t="str">
        <f>UPPER(B16)</f>
        <v>DECLARAIDENTIFICADORBONUS</v>
      </c>
      <c r="C58">
        <f>C16</f>
        <v>14</v>
      </c>
      <c r="H58" t="s">
        <v>240</v>
      </c>
      <c r="I58">
        <v>56</v>
      </c>
    </row>
    <row r="59" spans="2:9" x14ac:dyDescent="0.35">
      <c r="B59" t="str">
        <f t="shared" si="0"/>
        <v>VETORMATRIZ</v>
      </c>
      <c r="C59">
        <f t="shared" si="1"/>
        <v>15</v>
      </c>
      <c r="H59" t="s">
        <v>241</v>
      </c>
      <c r="I59">
        <v>57</v>
      </c>
    </row>
    <row r="60" spans="2:9" x14ac:dyDescent="0.35">
      <c r="B60" t="str">
        <f t="shared" si="0"/>
        <v>DIMENSAO</v>
      </c>
      <c r="C60">
        <f t="shared" si="1"/>
        <v>16</v>
      </c>
      <c r="H60" t="s">
        <v>242</v>
      </c>
      <c r="I60">
        <v>58</v>
      </c>
    </row>
    <row r="61" spans="2:9" x14ac:dyDescent="0.35">
      <c r="B61" t="str">
        <f t="shared" si="0"/>
        <v>DIMENSAOBONUS</v>
      </c>
      <c r="C61">
        <f t="shared" si="1"/>
        <v>17</v>
      </c>
      <c r="H61" t="s">
        <v>236</v>
      </c>
      <c r="I61">
        <v>59</v>
      </c>
    </row>
    <row r="62" spans="2:9" x14ac:dyDescent="0.35">
      <c r="B62" t="str">
        <f t="shared" si="0"/>
        <v>TIPOBASICO</v>
      </c>
      <c r="C62">
        <f t="shared" si="1"/>
        <v>18</v>
      </c>
      <c r="H62" t="s">
        <v>245</v>
      </c>
      <c r="I62">
        <v>60</v>
      </c>
    </row>
    <row r="63" spans="2:9" x14ac:dyDescent="0.35">
      <c r="B63" t="str">
        <f t="shared" si="0"/>
        <v>BLOCOCOMANDOS</v>
      </c>
      <c r="C63">
        <f t="shared" si="1"/>
        <v>19</v>
      </c>
      <c r="H63" t="s">
        <v>250</v>
      </c>
      <c r="I63">
        <v>61</v>
      </c>
    </row>
    <row r="64" spans="2:9" x14ac:dyDescent="0.35">
      <c r="B64" t="str">
        <f t="shared" si="0"/>
        <v>LISTACOMANDOS</v>
      </c>
      <c r="C64">
        <f t="shared" si="1"/>
        <v>20</v>
      </c>
      <c r="H64" t="s">
        <v>251</v>
      </c>
      <c r="I64">
        <v>62</v>
      </c>
    </row>
    <row r="65" spans="2:9" x14ac:dyDescent="0.35">
      <c r="B65" t="str">
        <f t="shared" si="0"/>
        <v>LISTACOMANDOSBONUS</v>
      </c>
      <c r="C65">
        <f t="shared" si="1"/>
        <v>21</v>
      </c>
      <c r="H65" t="s">
        <v>249</v>
      </c>
      <c r="I65">
        <v>63</v>
      </c>
    </row>
    <row r="66" spans="2:9" x14ac:dyDescent="0.35">
      <c r="B66" t="str">
        <f t="shared" si="0"/>
        <v>COMANDOS</v>
      </c>
      <c r="C66">
        <f t="shared" si="1"/>
        <v>22</v>
      </c>
      <c r="H66" t="s">
        <v>255</v>
      </c>
      <c r="I66">
        <v>64</v>
      </c>
    </row>
    <row r="67" spans="2:9" x14ac:dyDescent="0.35">
      <c r="B67" t="str">
        <f t="shared" si="0"/>
        <v>COMMANDSIDENTIFIER</v>
      </c>
      <c r="C67">
        <f t="shared" si="1"/>
        <v>23</v>
      </c>
      <c r="H67" t="s">
        <v>256</v>
      </c>
      <c r="I67">
        <v>65</v>
      </c>
    </row>
    <row r="68" spans="2:9" x14ac:dyDescent="0.35">
      <c r="B68" t="str">
        <f t="shared" si="0"/>
        <v>ELSEIF</v>
      </c>
      <c r="C68">
        <f t="shared" si="1"/>
        <v>24</v>
      </c>
      <c r="H68" t="s">
        <v>257</v>
      </c>
      <c r="I68">
        <v>66</v>
      </c>
    </row>
    <row r="69" spans="2:9" x14ac:dyDescent="0.35">
      <c r="B69" t="str">
        <f t="shared" si="0"/>
        <v>STEPFOR</v>
      </c>
      <c r="C69">
        <f t="shared" si="1"/>
        <v>25</v>
      </c>
      <c r="H69" t="s">
        <v>254</v>
      </c>
      <c r="I69">
        <v>67</v>
      </c>
    </row>
    <row r="70" spans="2:9" x14ac:dyDescent="0.35">
      <c r="B70" t="str">
        <f>UPPER(B28)</f>
        <v>EXPRESSAO</v>
      </c>
      <c r="C70">
        <f>C28</f>
        <v>26</v>
      </c>
      <c r="H70" t="s">
        <v>259</v>
      </c>
      <c r="I70">
        <v>68</v>
      </c>
    </row>
    <row r="71" spans="2:9" x14ac:dyDescent="0.35">
      <c r="B71" t="str">
        <f t="shared" si="0"/>
        <v>EXPRESSAONEW</v>
      </c>
      <c r="C71">
        <f t="shared" si="1"/>
        <v>27</v>
      </c>
      <c r="H71" t="s">
        <v>263</v>
      </c>
      <c r="I71">
        <v>69</v>
      </c>
    </row>
    <row r="72" spans="2:9" x14ac:dyDescent="0.35">
      <c r="B72" t="str">
        <f t="shared" si="0"/>
        <v>EXPRESSAOSIMPLES</v>
      </c>
      <c r="C72">
        <f t="shared" si="1"/>
        <v>28</v>
      </c>
      <c r="H72" t="s">
        <v>264</v>
      </c>
      <c r="I72">
        <v>70</v>
      </c>
    </row>
    <row r="73" spans="2:9" x14ac:dyDescent="0.35">
      <c r="B73" t="str">
        <f t="shared" si="0"/>
        <v>SIGNAL</v>
      </c>
      <c r="C73">
        <f t="shared" si="1"/>
        <v>29</v>
      </c>
      <c r="H73" t="s">
        <v>265</v>
      </c>
      <c r="I73">
        <v>71</v>
      </c>
    </row>
    <row r="74" spans="2:9" x14ac:dyDescent="0.35">
      <c r="B74" t="str">
        <f t="shared" si="0"/>
        <v>EXPRESSAOSIMPLESNEW</v>
      </c>
      <c r="C74">
        <f t="shared" si="1"/>
        <v>30</v>
      </c>
      <c r="H74" t="s">
        <v>266</v>
      </c>
      <c r="I74">
        <v>72</v>
      </c>
    </row>
    <row r="75" spans="2:9" x14ac:dyDescent="0.35">
      <c r="B75" t="str">
        <f t="shared" si="0"/>
        <v>TERMO</v>
      </c>
      <c r="C75">
        <f t="shared" si="1"/>
        <v>31</v>
      </c>
      <c r="H75" t="s">
        <v>262</v>
      </c>
      <c r="I75">
        <v>73</v>
      </c>
    </row>
    <row r="76" spans="2:9" x14ac:dyDescent="0.35">
      <c r="B76" t="str">
        <f t="shared" si="0"/>
        <v>TERMONEW</v>
      </c>
      <c r="C76">
        <f t="shared" si="1"/>
        <v>32</v>
      </c>
      <c r="H76" t="s">
        <v>269</v>
      </c>
      <c r="I76">
        <v>74</v>
      </c>
    </row>
    <row r="77" spans="2:9" x14ac:dyDescent="0.35">
      <c r="B77" t="str">
        <f t="shared" si="0"/>
        <v>FATOR</v>
      </c>
      <c r="C77">
        <f t="shared" si="1"/>
        <v>33</v>
      </c>
      <c r="H77" t="s">
        <v>271</v>
      </c>
      <c r="I77">
        <v>75</v>
      </c>
    </row>
    <row r="78" spans="2:9" x14ac:dyDescent="0.35">
      <c r="B78" t="str">
        <f t="shared" si="0"/>
        <v>IDENTIFIERVARIABLE</v>
      </c>
      <c r="C78">
        <f t="shared" si="1"/>
        <v>34</v>
      </c>
      <c r="H78" t="s">
        <v>270</v>
      </c>
      <c r="I78">
        <v>76</v>
      </c>
    </row>
    <row r="79" spans="2:9" x14ac:dyDescent="0.35">
      <c r="B79" t="str">
        <f>UPPER(B37)</f>
        <v>VARIAVEL</v>
      </c>
      <c r="C79">
        <f>C37</f>
        <v>35</v>
      </c>
      <c r="H79" t="s">
        <v>272</v>
      </c>
      <c r="I79">
        <v>77</v>
      </c>
    </row>
    <row r="80" spans="2:9" x14ac:dyDescent="0.35">
      <c r="B80" t="str">
        <f t="shared" si="0"/>
        <v>VARIABLEEXP</v>
      </c>
      <c r="C80">
        <f t="shared" si="1"/>
        <v>36</v>
      </c>
      <c r="H80" t="s">
        <v>273</v>
      </c>
      <c r="I80">
        <v>78</v>
      </c>
    </row>
    <row r="81" spans="2:9" x14ac:dyDescent="0.35">
      <c r="B81" t="str">
        <f>UPPER(B39)</f>
        <v>EXPRITER</v>
      </c>
      <c r="C81">
        <f>C39</f>
        <v>37</v>
      </c>
      <c r="H81" t="s">
        <v>274</v>
      </c>
      <c r="I81">
        <v>79</v>
      </c>
    </row>
    <row r="82" spans="2:9" x14ac:dyDescent="0.35">
      <c r="B82" t="str">
        <f t="shared" si="0"/>
        <v>EXPRITERBONUS</v>
      </c>
      <c r="C82">
        <f t="shared" si="1"/>
        <v>38</v>
      </c>
      <c r="H82" t="s">
        <v>275</v>
      </c>
      <c r="I82">
        <v>80</v>
      </c>
    </row>
    <row r="83" spans="2:9" x14ac:dyDescent="0.35">
      <c r="H83" t="s">
        <v>268</v>
      </c>
      <c r="I83">
        <v>81</v>
      </c>
    </row>
    <row r="84" spans="2:9" x14ac:dyDescent="0.35">
      <c r="H84" t="s">
        <v>279</v>
      </c>
      <c r="I84">
        <v>82</v>
      </c>
    </row>
    <row r="85" spans="2:9" x14ac:dyDescent="0.35">
      <c r="H85" t="s">
        <v>278</v>
      </c>
      <c r="I85">
        <v>83</v>
      </c>
    </row>
    <row r="86" spans="2:9" x14ac:dyDescent="0.35">
      <c r="H86" t="s">
        <v>281</v>
      </c>
      <c r="I86">
        <v>84</v>
      </c>
    </row>
    <row r="87" spans="2:9" x14ac:dyDescent="0.35">
      <c r="H87" t="s">
        <v>285</v>
      </c>
      <c r="I87">
        <v>85</v>
      </c>
    </row>
    <row r="88" spans="2:9" x14ac:dyDescent="0.35">
      <c r="H88" t="s">
        <v>284</v>
      </c>
      <c r="I88">
        <v>86</v>
      </c>
    </row>
    <row r="89" spans="2:9" x14ac:dyDescent="0.35">
      <c r="H89" t="s">
        <v>288</v>
      </c>
      <c r="I89">
        <v>87</v>
      </c>
    </row>
    <row r="90" spans="2:9" x14ac:dyDescent="0.35">
      <c r="H90" t="s">
        <v>291</v>
      </c>
      <c r="I90">
        <v>88</v>
      </c>
    </row>
    <row r="91" spans="2:9" x14ac:dyDescent="0.35">
      <c r="H91" t="s">
        <v>290</v>
      </c>
      <c r="I91">
        <v>89</v>
      </c>
    </row>
    <row r="92" spans="2:9" x14ac:dyDescent="0.35">
      <c r="H92" t="s">
        <v>295</v>
      </c>
      <c r="I9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EC07-E9AF-435A-9FFF-A768E1DB8FB5}">
  <dimension ref="A1:BE40"/>
  <sheetViews>
    <sheetView workbookViewId="0">
      <selection activeCell="A3" sqref="A3"/>
    </sheetView>
  </sheetViews>
  <sheetFormatPr defaultRowHeight="14.5" x14ac:dyDescent="0.35"/>
  <cols>
    <col min="1" max="1" width="27.6328125" customWidth="1"/>
    <col min="54" max="54" width="12.453125" customWidth="1"/>
  </cols>
  <sheetData>
    <row r="1" spans="1:57" x14ac:dyDescent="0.35">
      <c r="C1" t="str" cm="1">
        <f t="array" ref="C1:BE1">TRANSPOSE(Labels!E3:E57)</f>
        <v>algoritmo</v>
      </c>
      <c r="D1" t="str">
        <v>identificador</v>
      </c>
      <c r="E1" t="str">
        <v>;</v>
      </c>
      <c r="F1" t="str">
        <v>.</v>
      </c>
      <c r="G1" t="str">
        <v>procedimento</v>
      </c>
      <c r="H1" t="str">
        <v>funcao</v>
      </c>
      <c r="I1" t="str">
        <v>:</v>
      </c>
      <c r="J1" t="str">
        <v>(</v>
      </c>
      <c r="K1" t="str">
        <v>)</v>
      </c>
      <c r="L1" t="str">
        <v>variaveis</v>
      </c>
      <c r="M1" t="str">
        <v>tipo</v>
      </c>
      <c r="N1" t="str">
        <v>=</v>
      </c>
      <c r="O1" t="str">
        <v>[</v>
      </c>
      <c r="P1" t="str">
        <v>]</v>
      </c>
      <c r="Q1" t="str">
        <v>,</v>
      </c>
      <c r="R1" t="str">
        <v>vetor</v>
      </c>
      <c r="S1" t="str">
        <v>matriz</v>
      </c>
      <c r="T1" t="str">
        <v>numero_inteiro</v>
      </c>
      <c r="U1" t="str">
        <v>inteiro</v>
      </c>
      <c r="V1" t="str">
        <v>real</v>
      </c>
      <c r="W1" t="str">
        <v>caractere</v>
      </c>
      <c r="X1" t="str">
        <v>logico</v>
      </c>
      <c r="Y1" t="str">
        <v>inicio</v>
      </c>
      <c r="Z1" t="str">
        <v>fim</v>
      </c>
      <c r="AA1" t="str">
        <v>&lt;-</v>
      </c>
      <c r="AB1" t="str">
        <v>se</v>
      </c>
      <c r="AC1" t="str">
        <v>entao</v>
      </c>
      <c r="AD1" t="str">
        <v>senao</v>
      </c>
      <c r="AE1" t="str">
        <v>enquanto</v>
      </c>
      <c r="AF1" t="str">
        <v>faca</v>
      </c>
      <c r="AG1" t="str">
        <v>para</v>
      </c>
      <c r="AH1" t="str">
        <v>de</v>
      </c>
      <c r="AI1" t="str">
        <v>ate</v>
      </c>
      <c r="AJ1" t="str">
        <v>passo</v>
      </c>
      <c r="AK1" t="str">
        <v>repita</v>
      </c>
      <c r="AL1" t="str">
        <v>leia</v>
      </c>
      <c r="AM1" t="str">
        <v>imprima</v>
      </c>
      <c r="AN1" t="str">
        <v>&lt;&gt;</v>
      </c>
      <c r="AO1" t="str">
        <v>&lt;</v>
      </c>
      <c r="AP1" t="str">
        <v>&lt;=</v>
      </c>
      <c r="AQ1" t="str">
        <v>&gt;=</v>
      </c>
      <c r="AR1" t="str">
        <v>&gt;</v>
      </c>
      <c r="AS1" t="str">
        <v>+</v>
      </c>
      <c r="AT1" t="str">
        <v>-</v>
      </c>
      <c r="AU1" t="str">
        <v>ou</v>
      </c>
      <c r="AV1" t="str">
        <v>*</v>
      </c>
      <c r="AW1" t="str">
        <v>/</v>
      </c>
      <c r="AX1" t="str">
        <v>div</v>
      </c>
      <c r="AY1" t="str">
        <v>e</v>
      </c>
      <c r="AZ1" t="str">
        <v>nao</v>
      </c>
      <c r="BA1" t="str">
        <v>numero_real</v>
      </c>
      <c r="BB1" t="b">
        <v>1</v>
      </c>
      <c r="BC1" t="b">
        <v>0</v>
      </c>
      <c r="BD1" t="str">
        <v>string</v>
      </c>
      <c r="BE1" t="str">
        <v>$</v>
      </c>
    </row>
    <row r="2" spans="1:57" x14ac:dyDescent="0.35">
      <c r="C2">
        <f>VLOOKUP(Format1!C1,Labels!$E$3:$F$57,2,FALSE)</f>
        <v>1</v>
      </c>
      <c r="D2">
        <f>VLOOKUP(Format1!D1,Labels!$E$3:$F$57,2,FALSE)</f>
        <v>2</v>
      </c>
      <c r="E2">
        <f>VLOOKUP(Format1!E1,Labels!$E$3:$F$57,2,FALSE)</f>
        <v>3</v>
      </c>
      <c r="F2">
        <f>VLOOKUP(Format1!F1,Labels!$E$3:$F$57,2,FALSE)</f>
        <v>4</v>
      </c>
      <c r="G2">
        <f>VLOOKUP(Format1!G1,Labels!$E$3:$F$57,2,FALSE)</f>
        <v>5</v>
      </c>
      <c r="H2">
        <f>VLOOKUP(Format1!H1,Labels!$E$3:$F$57,2,FALSE)</f>
        <v>6</v>
      </c>
      <c r="I2">
        <f>VLOOKUP(Format1!I1,Labels!$E$3:$F$57,2,FALSE)</f>
        <v>7</v>
      </c>
      <c r="J2">
        <f>VLOOKUP(Format1!J1,Labels!$E$3:$F$57,2,FALSE)</f>
        <v>8</v>
      </c>
      <c r="K2">
        <f>VLOOKUP(Format1!K1,Labels!$E$3:$F$57,2,FALSE)</f>
        <v>9</v>
      </c>
      <c r="L2">
        <f>VLOOKUP(Format1!L1,Labels!$E$3:$F$57,2,FALSE)</f>
        <v>10</v>
      </c>
      <c r="M2">
        <f>VLOOKUP(Format1!M1,Labels!$E$3:$F$57,2,FALSE)</f>
        <v>11</v>
      </c>
      <c r="N2">
        <f>VLOOKUP(Format1!N1,Labels!$E$3:$F$57,2,FALSE)</f>
        <v>12</v>
      </c>
      <c r="O2">
        <f>VLOOKUP(Format1!O1,Labels!$E$3:$F$57,2,FALSE)</f>
        <v>13</v>
      </c>
      <c r="P2">
        <f>VLOOKUP(Format1!P1,Labels!$E$3:$F$57,2,FALSE)</f>
        <v>14</v>
      </c>
      <c r="Q2">
        <f>VLOOKUP(Format1!Q1,Labels!$E$3:$F$57,2,FALSE)</f>
        <v>15</v>
      </c>
      <c r="R2">
        <f>VLOOKUP(Format1!R1,Labels!$E$3:$F$57,2,FALSE)</f>
        <v>16</v>
      </c>
      <c r="S2">
        <f>VLOOKUP(Format1!S1,Labels!$E$3:$F$57,2,FALSE)</f>
        <v>17</v>
      </c>
      <c r="T2">
        <f>VLOOKUP(Format1!T1,Labels!$E$3:$F$57,2,FALSE)</f>
        <v>18</v>
      </c>
      <c r="U2">
        <f>VLOOKUP(Format1!U1,Labels!$E$3:$F$57,2,FALSE)</f>
        <v>19</v>
      </c>
      <c r="V2">
        <f>VLOOKUP(Format1!V1,Labels!$E$3:$F$57,2,FALSE)</f>
        <v>20</v>
      </c>
      <c r="W2">
        <f>VLOOKUP(Format1!W1,Labels!$E$3:$F$57,2,FALSE)</f>
        <v>21</v>
      </c>
      <c r="X2">
        <f>VLOOKUP(Format1!X1,Labels!$E$3:$F$57,2,FALSE)</f>
        <v>22</v>
      </c>
      <c r="Y2">
        <f>VLOOKUP(Format1!Y1,Labels!$E$3:$F$57,2,FALSE)</f>
        <v>23</v>
      </c>
      <c r="Z2">
        <f>VLOOKUP(Format1!Z1,Labels!$E$3:$F$57,2,FALSE)</f>
        <v>24</v>
      </c>
      <c r="AA2">
        <f>VLOOKUP(Format1!AA1,Labels!$E$3:$F$57,2,FALSE)</f>
        <v>25</v>
      </c>
      <c r="AB2">
        <f>VLOOKUP(Format1!AB1,Labels!$E$3:$F$57,2,FALSE)</f>
        <v>26</v>
      </c>
      <c r="AC2">
        <f>VLOOKUP(Format1!AC1,Labels!$E$3:$F$57,2,FALSE)</f>
        <v>27</v>
      </c>
      <c r="AD2">
        <f>VLOOKUP(Format1!AD1,Labels!$E$3:$F$57,2,FALSE)</f>
        <v>28</v>
      </c>
      <c r="AE2">
        <f>VLOOKUP(Format1!AE1,Labels!$E$3:$F$57,2,FALSE)</f>
        <v>29</v>
      </c>
      <c r="AF2">
        <f>VLOOKUP(Format1!AF1,Labels!$E$3:$F$57,2,FALSE)</f>
        <v>30</v>
      </c>
      <c r="AG2">
        <f>VLOOKUP(Format1!AG1,Labels!$E$3:$F$57,2,FALSE)</f>
        <v>31</v>
      </c>
      <c r="AH2">
        <f>VLOOKUP(Format1!AH1,Labels!$E$3:$F$57,2,FALSE)</f>
        <v>32</v>
      </c>
      <c r="AI2">
        <f>VLOOKUP(Format1!AI1,Labels!$E$3:$F$57,2,FALSE)</f>
        <v>33</v>
      </c>
      <c r="AJ2">
        <f>VLOOKUP(Format1!AJ1,Labels!$E$3:$F$57,2,FALSE)</f>
        <v>34</v>
      </c>
      <c r="AK2">
        <f>VLOOKUP(Format1!AK1,Labels!$E$3:$F$57,2,FALSE)</f>
        <v>35</v>
      </c>
      <c r="AL2">
        <f>VLOOKUP(Format1!AL1,Labels!$E$3:$F$57,2,FALSE)</f>
        <v>36</v>
      </c>
      <c r="AM2">
        <f>VLOOKUP(Format1!AM1,Labels!$E$3:$F$57,2,FALSE)</f>
        <v>37</v>
      </c>
      <c r="AN2">
        <f>VLOOKUP(Format1!AN1,Labels!$E$3:$F$57,2,FALSE)</f>
        <v>38</v>
      </c>
      <c r="AO2">
        <f>VLOOKUP(Format1!AO1,Labels!$E$3:$F$57,2,FALSE)</f>
        <v>39</v>
      </c>
      <c r="AP2">
        <f>VLOOKUP(Format1!AP1,Labels!$E$3:$F$57,2,FALSE)</f>
        <v>40</v>
      </c>
      <c r="AQ2">
        <f>VLOOKUP(Format1!AQ1,Labels!$E$3:$F$57,2,FALSE)</f>
        <v>41</v>
      </c>
      <c r="AR2">
        <f>VLOOKUP(Format1!AR1,Labels!$E$3:$F$57,2,FALSE)</f>
        <v>42</v>
      </c>
      <c r="AS2">
        <f>VLOOKUP(Format1!AS1,Labels!$E$3:$F$57,2,FALSE)</f>
        <v>43</v>
      </c>
      <c r="AT2">
        <f>VLOOKUP(Format1!AT1,Labels!$E$3:$F$57,2,FALSE)</f>
        <v>44</v>
      </c>
      <c r="AU2">
        <f>VLOOKUP(Format1!AU1,Labels!$E$3:$F$57,2,FALSE)</f>
        <v>45</v>
      </c>
      <c r="AV2">
        <v>46</v>
      </c>
      <c r="AW2">
        <f>VLOOKUP(Format1!AW1,Labels!$E$3:$F$57,2,FALSE)</f>
        <v>47</v>
      </c>
      <c r="AX2">
        <f>VLOOKUP(Format1!AX1,Labels!$E$3:$F$57,2,FALSE)</f>
        <v>48</v>
      </c>
      <c r="AY2">
        <f>VLOOKUP(Format1!AY1,Labels!$E$3:$F$57,2,FALSE)</f>
        <v>49</v>
      </c>
      <c r="AZ2">
        <f>VLOOKUP(Format1!AZ1,Labels!$E$3:$F$57,2,FALSE)</f>
        <v>50</v>
      </c>
      <c r="BA2">
        <f>VLOOKUP(Format1!BA1,Labels!$E$3:$F$57,2,FALSE)</f>
        <v>51</v>
      </c>
      <c r="BB2">
        <f>VLOOKUP(Format1!BB1,Labels!$E$3:$F$57,2,FALSE)</f>
        <v>52</v>
      </c>
      <c r="BC2">
        <f>VLOOKUP(Format1!BC1,Labels!$E$3:$F$57,2,FALSE)</f>
        <v>53</v>
      </c>
      <c r="BD2">
        <f>VLOOKUP(Format1!BD1,Labels!$E$3:$F$57,2,FALSE)</f>
        <v>54</v>
      </c>
      <c r="BE2">
        <f>VLOOKUP(Format1!BE1,Labels!$E$3:$F$57,2,FALSE)</f>
        <v>55</v>
      </c>
    </row>
    <row r="3" spans="1:57" x14ac:dyDescent="0.35">
      <c r="A3" t="str" cm="1">
        <f t="array" ref="A3:B40">Labels!B3:C40</f>
        <v>Programa</v>
      </c>
      <c r="B3">
        <v>1</v>
      </c>
      <c r="C3">
        <f>VLOOKUP(Format1!C2,Labels!$H$3:$I$92,2,FALSE) + 100</f>
        <v>101</v>
      </c>
      <c r="D3">
        <f>VLOOKUP(Format1!D2,Labels!$H$3:$I$92,2,FALSE) + 100</f>
        <v>100</v>
      </c>
      <c r="E3">
        <f>VLOOKUP(Format1!E2,Labels!$H$3:$I$92,2,FALSE) + 100</f>
        <v>100</v>
      </c>
      <c r="F3">
        <f>VLOOKUP(Format1!F2,Labels!$H$3:$I$92,2,FALSE) + 100</f>
        <v>100</v>
      </c>
      <c r="G3">
        <f>VLOOKUP(Format1!G2,Labels!$H$3:$I$92,2,FALSE) + 100</f>
        <v>100</v>
      </c>
      <c r="H3">
        <f>VLOOKUP(Format1!H2,Labels!$H$3:$I$92,2,FALSE) + 100</f>
        <v>100</v>
      </c>
      <c r="I3">
        <f>VLOOKUP(Format1!I2,Labels!$H$3:$I$92,2,FALSE) + 100</f>
        <v>100</v>
      </c>
      <c r="J3">
        <f>VLOOKUP(Format1!J2,Labels!$H$3:$I$92,2,FALSE) + 100</f>
        <v>100</v>
      </c>
      <c r="K3">
        <f>VLOOKUP(Format1!K2,Labels!$H$3:$I$92,2,FALSE) + 100</f>
        <v>100</v>
      </c>
      <c r="L3">
        <f>VLOOKUP(Format1!L2,Labels!$H$3:$I$92,2,FALSE) + 100</f>
        <v>100</v>
      </c>
      <c r="M3">
        <f>VLOOKUP(Format1!M2,Labels!$H$3:$I$92,2,FALSE) + 100</f>
        <v>100</v>
      </c>
      <c r="N3">
        <f>VLOOKUP(Format1!N2,Labels!$H$3:$I$92,2,FALSE) + 100</f>
        <v>100</v>
      </c>
      <c r="O3">
        <f>VLOOKUP(Format1!O2,Labels!$H$3:$I$92,2,FALSE) + 100</f>
        <v>100</v>
      </c>
      <c r="P3">
        <f>VLOOKUP(Format1!P2,Labels!$H$3:$I$92,2,FALSE) + 100</f>
        <v>100</v>
      </c>
      <c r="Q3">
        <f>VLOOKUP(Format1!Q2,Labels!$H$3:$I$92,2,FALSE) + 100</f>
        <v>100</v>
      </c>
      <c r="R3">
        <f>VLOOKUP(Format1!R2,Labels!$H$3:$I$92,2,FALSE) + 100</f>
        <v>100</v>
      </c>
      <c r="S3">
        <f>VLOOKUP(Format1!S2,Labels!$H$3:$I$92,2,FALSE) + 100</f>
        <v>100</v>
      </c>
      <c r="T3">
        <f>VLOOKUP(Format1!T2,Labels!$H$3:$I$92,2,FALSE) + 100</f>
        <v>100</v>
      </c>
      <c r="U3">
        <f>VLOOKUP(Format1!U2,Labels!$H$3:$I$92,2,FALSE) + 100</f>
        <v>100</v>
      </c>
      <c r="V3">
        <f>VLOOKUP(Format1!V2,Labels!$H$3:$I$92,2,FALSE) + 100</f>
        <v>100</v>
      </c>
      <c r="W3">
        <f>VLOOKUP(Format1!W2,Labels!$H$3:$I$92,2,FALSE) + 100</f>
        <v>100</v>
      </c>
      <c r="X3">
        <f>VLOOKUP(Format1!X2,Labels!$H$3:$I$92,2,FALSE) + 100</f>
        <v>100</v>
      </c>
      <c r="Y3">
        <f>VLOOKUP(Format1!Y2,Labels!$H$3:$I$92,2,FALSE) + 100</f>
        <v>100</v>
      </c>
      <c r="Z3">
        <f>VLOOKUP(Format1!Z2,Labels!$H$3:$I$92,2,FALSE) + 100</f>
        <v>100</v>
      </c>
      <c r="AA3">
        <f>VLOOKUP(Format1!AA2,Labels!$H$3:$I$92,2,FALSE) + 100</f>
        <v>100</v>
      </c>
      <c r="AB3">
        <f>VLOOKUP(Format1!AB2,Labels!$H$3:$I$92,2,FALSE) + 100</f>
        <v>100</v>
      </c>
      <c r="AC3">
        <f>VLOOKUP(Format1!AC2,Labels!$H$3:$I$92,2,FALSE) + 100</f>
        <v>100</v>
      </c>
      <c r="AD3">
        <f>VLOOKUP(Format1!AD2,Labels!$H$3:$I$92,2,FALSE) + 100</f>
        <v>100</v>
      </c>
      <c r="AE3">
        <f>VLOOKUP(Format1!AE2,Labels!$H$3:$I$92,2,FALSE) + 100</f>
        <v>100</v>
      </c>
      <c r="AF3">
        <f>VLOOKUP(Format1!AF2,Labels!$H$3:$I$92,2,FALSE) + 100</f>
        <v>100</v>
      </c>
      <c r="AG3">
        <f>VLOOKUP(Format1!AG2,Labels!$H$3:$I$92,2,FALSE) + 100</f>
        <v>100</v>
      </c>
      <c r="AH3">
        <f>VLOOKUP(Format1!AH2,Labels!$H$3:$I$92,2,FALSE) + 100</f>
        <v>100</v>
      </c>
      <c r="AI3">
        <f>VLOOKUP(Format1!AI2,Labels!$H$3:$I$92,2,FALSE) + 100</f>
        <v>100</v>
      </c>
      <c r="AJ3">
        <f>VLOOKUP(Format1!AJ2,Labels!$H$3:$I$92,2,FALSE) + 100</f>
        <v>100</v>
      </c>
      <c r="AK3">
        <f>VLOOKUP(Format1!AK2,Labels!$H$3:$I$92,2,FALSE) + 100</f>
        <v>100</v>
      </c>
      <c r="AL3">
        <f>VLOOKUP(Format1!AL2,Labels!$H$3:$I$92,2,FALSE) + 100</f>
        <v>100</v>
      </c>
      <c r="AM3">
        <f>VLOOKUP(Format1!AM2,Labels!$H$3:$I$92,2,FALSE) + 100</f>
        <v>100</v>
      </c>
      <c r="AN3">
        <f>VLOOKUP(Format1!AN2,Labels!$H$3:$I$92,2,FALSE) + 100</f>
        <v>100</v>
      </c>
      <c r="AO3">
        <f>VLOOKUP(Format1!AO2,Labels!$H$3:$I$92,2,FALSE) + 100</f>
        <v>100</v>
      </c>
      <c r="AP3">
        <f>VLOOKUP(Format1!AP2,Labels!$H$3:$I$92,2,FALSE) + 100</f>
        <v>100</v>
      </c>
      <c r="AQ3">
        <f>VLOOKUP(Format1!AQ2,Labels!$H$3:$I$92,2,FALSE) + 100</f>
        <v>100</v>
      </c>
      <c r="AR3">
        <f>VLOOKUP(Format1!AR2,Labels!$H$3:$I$92,2,FALSE) + 100</f>
        <v>100</v>
      </c>
      <c r="AS3">
        <f>VLOOKUP(Format1!AS2,Labels!$H$3:$I$92,2,FALSE) + 100</f>
        <v>100</v>
      </c>
      <c r="AT3">
        <f>VLOOKUP(Format1!AT2,Labels!$H$3:$I$92,2,FALSE) + 100</f>
        <v>100</v>
      </c>
      <c r="AU3">
        <f>VLOOKUP(Format1!AU2,Labels!$H$3:$I$92,2,FALSE) + 100</f>
        <v>100</v>
      </c>
      <c r="AV3">
        <f>VLOOKUP(Format1!AV2,Labels!$H$3:$I$92,2,FALSE) + 100</f>
        <v>100</v>
      </c>
      <c r="AW3">
        <f>VLOOKUP(Format1!AW2,Labels!$H$3:$I$92,2,FALSE) + 100</f>
        <v>100</v>
      </c>
      <c r="AX3">
        <f>VLOOKUP(Format1!AX2,Labels!$H$3:$I$92,2,FALSE) + 100</f>
        <v>100</v>
      </c>
      <c r="AY3">
        <f>VLOOKUP(Format1!AY2,Labels!$H$3:$I$92,2,FALSE) + 100</f>
        <v>100</v>
      </c>
      <c r="AZ3">
        <f>VLOOKUP(Format1!AZ2,Labels!$H$3:$I$92,2,FALSE) + 100</f>
        <v>100</v>
      </c>
      <c r="BA3">
        <f>VLOOKUP(Format1!BA2,Labels!$H$3:$I$92,2,FALSE) + 100</f>
        <v>100</v>
      </c>
      <c r="BB3">
        <f>VLOOKUP(Format1!BB2,Labels!$H$3:$I$92,2,FALSE) + 100</f>
        <v>100</v>
      </c>
      <c r="BC3">
        <f>VLOOKUP(Format1!BC2,Labels!$H$3:$I$92,2,FALSE) + 100</f>
        <v>100</v>
      </c>
      <c r="BD3">
        <f>VLOOKUP(Format1!BD2,Labels!$H$3:$I$92,2,FALSE) + 100</f>
        <v>100</v>
      </c>
      <c r="BE3">
        <f>VLOOKUP(Format1!BE2,Labels!$H$3:$I$92,2,FALSE) + 100</f>
        <v>100</v>
      </c>
    </row>
    <row r="4" spans="1:57" x14ac:dyDescent="0.35">
      <c r="A4" t="str">
        <v>ProcedimentoFuncao</v>
      </c>
      <c r="B4">
        <v>2</v>
      </c>
      <c r="C4">
        <f>VLOOKUP(Format1!C3,Labels!$H$3:$I$92,2,FALSE) + 100</f>
        <v>100</v>
      </c>
      <c r="D4">
        <f>VLOOKUP(Format1!D3,Labels!$H$3:$I$92,2,FALSE) + 100</f>
        <v>100</v>
      </c>
      <c r="E4">
        <f>VLOOKUP(Format1!E3,Labels!$H$3:$I$92,2,FALSE) + 100</f>
        <v>100</v>
      </c>
      <c r="F4">
        <f>VLOOKUP(Format1!F3,Labels!$H$3:$I$92,2,FALSE) + 100</f>
        <v>100</v>
      </c>
      <c r="G4">
        <f>VLOOKUP(Format1!G3,Labels!$H$3:$I$92,2,FALSE) + 100</f>
        <v>102</v>
      </c>
      <c r="H4">
        <f>VLOOKUP(Format1!H3,Labels!$H$3:$I$92,2,FALSE) + 100</f>
        <v>103</v>
      </c>
      <c r="I4">
        <f>VLOOKUP(Format1!I3,Labels!$H$3:$I$92,2,FALSE) + 100</f>
        <v>100</v>
      </c>
      <c r="J4">
        <f>VLOOKUP(Format1!J3,Labels!$H$3:$I$92,2,FALSE) + 100</f>
        <v>100</v>
      </c>
      <c r="K4">
        <f>VLOOKUP(Format1!K3,Labels!$H$3:$I$92,2,FALSE) + 100</f>
        <v>100</v>
      </c>
      <c r="L4">
        <f>VLOOKUP(Format1!L3,Labels!$H$3:$I$92,2,FALSE) + 100</f>
        <v>100</v>
      </c>
      <c r="M4">
        <f>VLOOKUP(Format1!M3,Labels!$H$3:$I$92,2,FALSE) + 100</f>
        <v>100</v>
      </c>
      <c r="N4">
        <f>VLOOKUP(Format1!N3,Labels!$H$3:$I$92,2,FALSE) + 100</f>
        <v>100</v>
      </c>
      <c r="O4">
        <f>VLOOKUP(Format1!O3,Labels!$H$3:$I$92,2,FALSE) + 100</f>
        <v>100</v>
      </c>
      <c r="P4">
        <f>VLOOKUP(Format1!P3,Labels!$H$3:$I$92,2,FALSE) + 100</f>
        <v>100</v>
      </c>
      <c r="Q4">
        <f>VLOOKUP(Format1!Q3,Labels!$H$3:$I$92,2,FALSE) + 100</f>
        <v>100</v>
      </c>
      <c r="R4">
        <f>VLOOKUP(Format1!R3,Labels!$H$3:$I$92,2,FALSE) + 100</f>
        <v>100</v>
      </c>
      <c r="S4">
        <f>VLOOKUP(Format1!S3,Labels!$H$3:$I$92,2,FALSE) + 100</f>
        <v>100</v>
      </c>
      <c r="T4">
        <f>VLOOKUP(Format1!T3,Labels!$H$3:$I$92,2,FALSE) + 100</f>
        <v>100</v>
      </c>
      <c r="U4">
        <f>VLOOKUP(Format1!U3,Labels!$H$3:$I$92,2,FALSE) + 100</f>
        <v>100</v>
      </c>
      <c r="V4">
        <f>VLOOKUP(Format1!V3,Labels!$H$3:$I$92,2,FALSE) + 100</f>
        <v>100</v>
      </c>
      <c r="W4">
        <f>VLOOKUP(Format1!W3,Labels!$H$3:$I$92,2,FALSE) + 100</f>
        <v>100</v>
      </c>
      <c r="X4">
        <f>VLOOKUP(Format1!X3,Labels!$H$3:$I$92,2,FALSE) + 100</f>
        <v>100</v>
      </c>
      <c r="Y4">
        <f>VLOOKUP(Format1!Y3,Labels!$H$3:$I$92,2,FALSE) + 100</f>
        <v>104</v>
      </c>
      <c r="Z4">
        <f>VLOOKUP(Format1!Z3,Labels!$H$3:$I$92,2,FALSE) + 100</f>
        <v>100</v>
      </c>
      <c r="AA4">
        <f>VLOOKUP(Format1!AA3,Labels!$H$3:$I$92,2,FALSE) + 100</f>
        <v>100</v>
      </c>
      <c r="AB4">
        <f>VLOOKUP(Format1!AB3,Labels!$H$3:$I$92,2,FALSE) + 100</f>
        <v>100</v>
      </c>
      <c r="AC4">
        <f>VLOOKUP(Format1!AC3,Labels!$H$3:$I$92,2,FALSE) + 100</f>
        <v>100</v>
      </c>
      <c r="AD4">
        <f>VLOOKUP(Format1!AD3,Labels!$H$3:$I$92,2,FALSE) + 100</f>
        <v>100</v>
      </c>
      <c r="AE4">
        <f>VLOOKUP(Format1!AE3,Labels!$H$3:$I$92,2,FALSE) + 100</f>
        <v>100</v>
      </c>
      <c r="AF4">
        <f>VLOOKUP(Format1!AF3,Labels!$H$3:$I$92,2,FALSE) + 100</f>
        <v>100</v>
      </c>
      <c r="AG4">
        <f>VLOOKUP(Format1!AG3,Labels!$H$3:$I$92,2,FALSE) + 100</f>
        <v>100</v>
      </c>
      <c r="AH4">
        <f>VLOOKUP(Format1!AH3,Labels!$H$3:$I$92,2,FALSE) + 100</f>
        <v>100</v>
      </c>
      <c r="AI4">
        <f>VLOOKUP(Format1!AI3,Labels!$H$3:$I$92,2,FALSE) + 100</f>
        <v>100</v>
      </c>
      <c r="AJ4">
        <f>VLOOKUP(Format1!AJ3,Labels!$H$3:$I$92,2,FALSE) + 100</f>
        <v>100</v>
      </c>
      <c r="AK4">
        <f>VLOOKUP(Format1!AK3,Labels!$H$3:$I$92,2,FALSE) + 100</f>
        <v>100</v>
      </c>
      <c r="AL4">
        <f>VLOOKUP(Format1!AL3,Labels!$H$3:$I$92,2,FALSE) + 100</f>
        <v>100</v>
      </c>
      <c r="AM4">
        <f>VLOOKUP(Format1!AM3,Labels!$H$3:$I$92,2,FALSE) + 100</f>
        <v>100</v>
      </c>
      <c r="AN4">
        <f>VLOOKUP(Format1!AN3,Labels!$H$3:$I$92,2,FALSE) + 100</f>
        <v>100</v>
      </c>
      <c r="AO4">
        <f>VLOOKUP(Format1!AO3,Labels!$H$3:$I$92,2,FALSE) + 100</f>
        <v>100</v>
      </c>
      <c r="AP4">
        <f>VLOOKUP(Format1!AP3,Labels!$H$3:$I$92,2,FALSE) + 100</f>
        <v>100</v>
      </c>
      <c r="AQ4">
        <f>VLOOKUP(Format1!AQ3,Labels!$H$3:$I$92,2,FALSE) + 100</f>
        <v>100</v>
      </c>
      <c r="AR4">
        <f>VLOOKUP(Format1!AR3,Labels!$H$3:$I$92,2,FALSE) + 100</f>
        <v>100</v>
      </c>
      <c r="AS4">
        <f>VLOOKUP(Format1!AS3,Labels!$H$3:$I$92,2,FALSE) + 100</f>
        <v>100</v>
      </c>
      <c r="AT4">
        <f>VLOOKUP(Format1!AT3,Labels!$H$3:$I$92,2,FALSE) + 100</f>
        <v>100</v>
      </c>
      <c r="AU4">
        <f>VLOOKUP(Format1!AU3,Labels!$H$3:$I$92,2,FALSE) + 100</f>
        <v>100</v>
      </c>
      <c r="AV4">
        <f>VLOOKUP(Format1!AV3,Labels!$H$3:$I$92,2,FALSE) + 100</f>
        <v>100</v>
      </c>
      <c r="AW4">
        <f>VLOOKUP(Format1!AW3,Labels!$H$3:$I$92,2,FALSE) + 100</f>
        <v>100</v>
      </c>
      <c r="AX4">
        <f>VLOOKUP(Format1!AX3,Labels!$H$3:$I$92,2,FALSE) + 100</f>
        <v>100</v>
      </c>
      <c r="AY4">
        <f>VLOOKUP(Format1!AY3,Labels!$H$3:$I$92,2,FALSE) + 100</f>
        <v>100</v>
      </c>
      <c r="AZ4">
        <f>VLOOKUP(Format1!AZ3,Labels!$H$3:$I$92,2,FALSE) + 100</f>
        <v>100</v>
      </c>
      <c r="BA4">
        <f>VLOOKUP(Format1!BA3,Labels!$H$3:$I$92,2,FALSE) + 100</f>
        <v>100</v>
      </c>
      <c r="BB4">
        <f>VLOOKUP(Format1!BB3,Labels!$H$3:$I$92,2,FALSE) + 100</f>
        <v>100</v>
      </c>
      <c r="BC4">
        <f>VLOOKUP(Format1!BC3,Labels!$H$3:$I$92,2,FALSE) + 100</f>
        <v>100</v>
      </c>
      <c r="BD4">
        <f>VLOOKUP(Format1!BD3,Labels!$H$3:$I$92,2,FALSE) + 100</f>
        <v>100</v>
      </c>
      <c r="BE4">
        <f>VLOOKUP(Format1!BE3,Labels!$H$3:$I$92,2,FALSE) + 100</f>
        <v>100</v>
      </c>
    </row>
    <row r="5" spans="1:57" x14ac:dyDescent="0.35">
      <c r="A5" t="str">
        <v>DeclaraProcedimento</v>
      </c>
      <c r="B5">
        <v>3</v>
      </c>
      <c r="C5">
        <f>VLOOKUP(Format1!C4,Labels!$H$3:$I$92,2,FALSE) + 100</f>
        <v>100</v>
      </c>
      <c r="D5">
        <f>VLOOKUP(Format1!D4,Labels!$H$3:$I$92,2,FALSE) + 100</f>
        <v>100</v>
      </c>
      <c r="E5">
        <f>VLOOKUP(Format1!E4,Labels!$H$3:$I$92,2,FALSE) + 100</f>
        <v>100</v>
      </c>
      <c r="F5">
        <f>VLOOKUP(Format1!F4,Labels!$H$3:$I$92,2,FALSE) + 100</f>
        <v>100</v>
      </c>
      <c r="G5">
        <f>VLOOKUP(Format1!G4,Labels!$H$3:$I$92,2,FALSE) + 100</f>
        <v>105</v>
      </c>
      <c r="H5">
        <f>VLOOKUP(Format1!H4,Labels!$H$3:$I$92,2,FALSE) + 100</f>
        <v>100</v>
      </c>
      <c r="I5">
        <f>VLOOKUP(Format1!I4,Labels!$H$3:$I$92,2,FALSE) + 100</f>
        <v>100</v>
      </c>
      <c r="J5">
        <f>VLOOKUP(Format1!J4,Labels!$H$3:$I$92,2,FALSE) + 100</f>
        <v>100</v>
      </c>
      <c r="K5">
        <f>VLOOKUP(Format1!K4,Labels!$H$3:$I$92,2,FALSE) + 100</f>
        <v>100</v>
      </c>
      <c r="L5">
        <f>VLOOKUP(Format1!L4,Labels!$H$3:$I$92,2,FALSE) + 100</f>
        <v>100</v>
      </c>
      <c r="M5">
        <f>VLOOKUP(Format1!M4,Labels!$H$3:$I$92,2,FALSE) + 100</f>
        <v>100</v>
      </c>
      <c r="N5">
        <f>VLOOKUP(Format1!N4,Labels!$H$3:$I$92,2,FALSE) + 100</f>
        <v>100</v>
      </c>
      <c r="O5">
        <f>VLOOKUP(Format1!O4,Labels!$H$3:$I$92,2,FALSE) + 100</f>
        <v>100</v>
      </c>
      <c r="P5">
        <f>VLOOKUP(Format1!P4,Labels!$H$3:$I$92,2,FALSE) + 100</f>
        <v>100</v>
      </c>
      <c r="Q5">
        <f>VLOOKUP(Format1!Q4,Labels!$H$3:$I$92,2,FALSE) + 100</f>
        <v>100</v>
      </c>
      <c r="R5">
        <f>VLOOKUP(Format1!R4,Labels!$H$3:$I$92,2,FALSE) + 100</f>
        <v>100</v>
      </c>
      <c r="S5">
        <f>VLOOKUP(Format1!S4,Labels!$H$3:$I$92,2,FALSE) + 100</f>
        <v>100</v>
      </c>
      <c r="T5">
        <f>VLOOKUP(Format1!T4,Labels!$H$3:$I$92,2,FALSE) + 100</f>
        <v>100</v>
      </c>
      <c r="U5">
        <f>VLOOKUP(Format1!U4,Labels!$H$3:$I$92,2,FALSE) + 100</f>
        <v>100</v>
      </c>
      <c r="V5">
        <f>VLOOKUP(Format1!V4,Labels!$H$3:$I$92,2,FALSE) + 100</f>
        <v>100</v>
      </c>
      <c r="W5">
        <f>VLOOKUP(Format1!W4,Labels!$H$3:$I$92,2,FALSE) + 100</f>
        <v>100</v>
      </c>
      <c r="X5">
        <f>VLOOKUP(Format1!X4,Labels!$H$3:$I$92,2,FALSE) + 100</f>
        <v>100</v>
      </c>
      <c r="Y5">
        <f>VLOOKUP(Format1!Y4,Labels!$H$3:$I$92,2,FALSE) + 100</f>
        <v>100</v>
      </c>
      <c r="Z5">
        <f>VLOOKUP(Format1!Z4,Labels!$H$3:$I$92,2,FALSE) + 100</f>
        <v>100</v>
      </c>
      <c r="AA5">
        <f>VLOOKUP(Format1!AA4,Labels!$H$3:$I$92,2,FALSE) + 100</f>
        <v>100</v>
      </c>
      <c r="AB5">
        <f>VLOOKUP(Format1!AB4,Labels!$H$3:$I$92,2,FALSE) + 100</f>
        <v>100</v>
      </c>
      <c r="AC5">
        <f>VLOOKUP(Format1!AC4,Labels!$H$3:$I$92,2,FALSE) + 100</f>
        <v>100</v>
      </c>
      <c r="AD5">
        <f>VLOOKUP(Format1!AD4,Labels!$H$3:$I$92,2,FALSE) + 100</f>
        <v>100</v>
      </c>
      <c r="AE5">
        <f>VLOOKUP(Format1!AE4,Labels!$H$3:$I$92,2,FALSE) + 100</f>
        <v>100</v>
      </c>
      <c r="AF5">
        <f>VLOOKUP(Format1!AF4,Labels!$H$3:$I$92,2,FALSE) + 100</f>
        <v>100</v>
      </c>
      <c r="AG5">
        <f>VLOOKUP(Format1!AG4,Labels!$H$3:$I$92,2,FALSE) + 100</f>
        <v>100</v>
      </c>
      <c r="AH5">
        <f>VLOOKUP(Format1!AH4,Labels!$H$3:$I$92,2,FALSE) + 100</f>
        <v>100</v>
      </c>
      <c r="AI5">
        <f>VLOOKUP(Format1!AI4,Labels!$H$3:$I$92,2,FALSE) + 100</f>
        <v>100</v>
      </c>
      <c r="AJ5">
        <f>VLOOKUP(Format1!AJ4,Labels!$H$3:$I$92,2,FALSE) + 100</f>
        <v>100</v>
      </c>
      <c r="AK5">
        <f>VLOOKUP(Format1!AK4,Labels!$H$3:$I$92,2,FALSE) + 100</f>
        <v>100</v>
      </c>
      <c r="AL5">
        <f>VLOOKUP(Format1!AL4,Labels!$H$3:$I$92,2,FALSE) + 100</f>
        <v>100</v>
      </c>
      <c r="AM5">
        <f>VLOOKUP(Format1!AM4,Labels!$H$3:$I$92,2,FALSE) + 100</f>
        <v>100</v>
      </c>
      <c r="AN5">
        <f>VLOOKUP(Format1!AN4,Labels!$H$3:$I$92,2,FALSE) + 100</f>
        <v>100</v>
      </c>
      <c r="AO5">
        <f>VLOOKUP(Format1!AO4,Labels!$H$3:$I$92,2,FALSE) + 100</f>
        <v>100</v>
      </c>
      <c r="AP5">
        <f>VLOOKUP(Format1!AP4,Labels!$H$3:$I$92,2,FALSE) + 100</f>
        <v>100</v>
      </c>
      <c r="AQ5">
        <f>VLOOKUP(Format1!AQ4,Labels!$H$3:$I$92,2,FALSE) + 100</f>
        <v>100</v>
      </c>
      <c r="AR5">
        <f>VLOOKUP(Format1!AR4,Labels!$H$3:$I$92,2,FALSE) + 100</f>
        <v>100</v>
      </c>
      <c r="AS5">
        <f>VLOOKUP(Format1!AS4,Labels!$H$3:$I$92,2,FALSE) + 100</f>
        <v>100</v>
      </c>
      <c r="AT5">
        <f>VLOOKUP(Format1!AT4,Labels!$H$3:$I$92,2,FALSE) + 100</f>
        <v>100</v>
      </c>
      <c r="AU5">
        <f>VLOOKUP(Format1!AU4,Labels!$H$3:$I$92,2,FALSE) + 100</f>
        <v>100</v>
      </c>
      <c r="AV5">
        <f>VLOOKUP(Format1!AV4,Labels!$H$3:$I$92,2,FALSE) + 100</f>
        <v>100</v>
      </c>
      <c r="AW5">
        <f>VLOOKUP(Format1!AW4,Labels!$H$3:$I$92,2,FALSE) + 100</f>
        <v>100</v>
      </c>
      <c r="AX5">
        <f>VLOOKUP(Format1!AX4,Labels!$H$3:$I$92,2,FALSE) + 100</f>
        <v>100</v>
      </c>
      <c r="AY5">
        <f>VLOOKUP(Format1!AY4,Labels!$H$3:$I$92,2,FALSE) + 100</f>
        <v>100</v>
      </c>
      <c r="AZ5">
        <f>VLOOKUP(Format1!AZ4,Labels!$H$3:$I$92,2,FALSE) + 100</f>
        <v>100</v>
      </c>
      <c r="BA5">
        <f>VLOOKUP(Format1!BA4,Labels!$H$3:$I$92,2,FALSE) + 100</f>
        <v>100</v>
      </c>
      <c r="BB5">
        <f>VLOOKUP(Format1!BB4,Labels!$H$3:$I$92,2,FALSE) + 100</f>
        <v>100</v>
      </c>
      <c r="BC5">
        <f>VLOOKUP(Format1!BC4,Labels!$H$3:$I$92,2,FALSE) + 100</f>
        <v>100</v>
      </c>
      <c r="BD5">
        <f>VLOOKUP(Format1!BD4,Labels!$H$3:$I$92,2,FALSE) + 100</f>
        <v>100</v>
      </c>
      <c r="BE5">
        <f>VLOOKUP(Format1!BE4,Labels!$H$3:$I$92,2,FALSE) + 100</f>
        <v>100</v>
      </c>
    </row>
    <row r="6" spans="1:57" x14ac:dyDescent="0.35">
      <c r="A6" t="str">
        <v>DeclaraFuncao</v>
      </c>
      <c r="B6">
        <v>4</v>
      </c>
      <c r="C6">
        <f>VLOOKUP(Format1!C5,Labels!$H$3:$I$92,2,FALSE) + 100</f>
        <v>100</v>
      </c>
      <c r="D6">
        <f>VLOOKUP(Format1!D5,Labels!$H$3:$I$92,2,FALSE) + 100</f>
        <v>100</v>
      </c>
      <c r="E6">
        <f>VLOOKUP(Format1!E5,Labels!$H$3:$I$92,2,FALSE) + 100</f>
        <v>100</v>
      </c>
      <c r="F6">
        <f>VLOOKUP(Format1!F5,Labels!$H$3:$I$92,2,FALSE) + 100</f>
        <v>100</v>
      </c>
      <c r="G6">
        <f>VLOOKUP(Format1!G5,Labels!$H$3:$I$92,2,FALSE) + 100</f>
        <v>100</v>
      </c>
      <c r="H6">
        <f>VLOOKUP(Format1!H5,Labels!$H$3:$I$92,2,FALSE) + 100</f>
        <v>106</v>
      </c>
      <c r="I6">
        <f>VLOOKUP(Format1!I5,Labels!$H$3:$I$92,2,FALSE) + 100</f>
        <v>100</v>
      </c>
      <c r="J6">
        <f>VLOOKUP(Format1!J5,Labels!$H$3:$I$92,2,FALSE) + 100</f>
        <v>100</v>
      </c>
      <c r="K6">
        <f>VLOOKUP(Format1!K5,Labels!$H$3:$I$92,2,FALSE) + 100</f>
        <v>100</v>
      </c>
      <c r="L6">
        <f>VLOOKUP(Format1!L5,Labels!$H$3:$I$92,2,FALSE) + 100</f>
        <v>100</v>
      </c>
      <c r="M6">
        <f>VLOOKUP(Format1!M5,Labels!$H$3:$I$92,2,FALSE) + 100</f>
        <v>100</v>
      </c>
      <c r="N6">
        <f>VLOOKUP(Format1!N5,Labels!$H$3:$I$92,2,FALSE) + 100</f>
        <v>100</v>
      </c>
      <c r="O6">
        <f>VLOOKUP(Format1!O5,Labels!$H$3:$I$92,2,FALSE) + 100</f>
        <v>100</v>
      </c>
      <c r="P6">
        <f>VLOOKUP(Format1!P5,Labels!$H$3:$I$92,2,FALSE) + 100</f>
        <v>100</v>
      </c>
      <c r="Q6">
        <f>VLOOKUP(Format1!Q5,Labels!$H$3:$I$92,2,FALSE) + 100</f>
        <v>100</v>
      </c>
      <c r="R6">
        <f>VLOOKUP(Format1!R5,Labels!$H$3:$I$92,2,FALSE) + 100</f>
        <v>100</v>
      </c>
      <c r="S6">
        <f>VLOOKUP(Format1!S5,Labels!$H$3:$I$92,2,FALSE) + 100</f>
        <v>100</v>
      </c>
      <c r="T6">
        <f>VLOOKUP(Format1!T5,Labels!$H$3:$I$92,2,FALSE) + 100</f>
        <v>100</v>
      </c>
      <c r="U6">
        <f>VLOOKUP(Format1!U5,Labels!$H$3:$I$92,2,FALSE) + 100</f>
        <v>100</v>
      </c>
      <c r="V6">
        <f>VLOOKUP(Format1!V5,Labels!$H$3:$I$92,2,FALSE) + 100</f>
        <v>100</v>
      </c>
      <c r="W6">
        <f>VLOOKUP(Format1!W5,Labels!$H$3:$I$92,2,FALSE) + 100</f>
        <v>100</v>
      </c>
      <c r="X6">
        <f>VLOOKUP(Format1!X5,Labels!$H$3:$I$92,2,FALSE) + 100</f>
        <v>100</v>
      </c>
      <c r="Y6">
        <f>VLOOKUP(Format1!Y5,Labels!$H$3:$I$92,2,FALSE) + 100</f>
        <v>100</v>
      </c>
      <c r="Z6">
        <f>VLOOKUP(Format1!Z5,Labels!$H$3:$I$92,2,FALSE) + 100</f>
        <v>100</v>
      </c>
      <c r="AA6">
        <f>VLOOKUP(Format1!AA5,Labels!$H$3:$I$92,2,FALSE) + 100</f>
        <v>100</v>
      </c>
      <c r="AB6">
        <f>VLOOKUP(Format1!AB5,Labels!$H$3:$I$92,2,FALSE) + 100</f>
        <v>100</v>
      </c>
      <c r="AC6">
        <f>VLOOKUP(Format1!AC5,Labels!$H$3:$I$92,2,FALSE) + 100</f>
        <v>100</v>
      </c>
      <c r="AD6">
        <f>VLOOKUP(Format1!AD5,Labels!$H$3:$I$92,2,FALSE) + 100</f>
        <v>100</v>
      </c>
      <c r="AE6">
        <f>VLOOKUP(Format1!AE5,Labels!$H$3:$I$92,2,FALSE) + 100</f>
        <v>100</v>
      </c>
      <c r="AF6">
        <f>VLOOKUP(Format1!AF5,Labels!$H$3:$I$92,2,FALSE) + 100</f>
        <v>100</v>
      </c>
      <c r="AG6">
        <f>VLOOKUP(Format1!AG5,Labels!$H$3:$I$92,2,FALSE) + 100</f>
        <v>100</v>
      </c>
      <c r="AH6">
        <f>VLOOKUP(Format1!AH5,Labels!$H$3:$I$92,2,FALSE) + 100</f>
        <v>100</v>
      </c>
      <c r="AI6">
        <f>VLOOKUP(Format1!AI5,Labels!$H$3:$I$92,2,FALSE) + 100</f>
        <v>100</v>
      </c>
      <c r="AJ6">
        <f>VLOOKUP(Format1!AJ5,Labels!$H$3:$I$92,2,FALSE) + 100</f>
        <v>100</v>
      </c>
      <c r="AK6">
        <f>VLOOKUP(Format1!AK5,Labels!$H$3:$I$92,2,FALSE) + 100</f>
        <v>100</v>
      </c>
      <c r="AL6">
        <f>VLOOKUP(Format1!AL5,Labels!$H$3:$I$92,2,FALSE) + 100</f>
        <v>100</v>
      </c>
      <c r="AM6">
        <f>VLOOKUP(Format1!AM5,Labels!$H$3:$I$92,2,FALSE) + 100</f>
        <v>100</v>
      </c>
      <c r="AN6">
        <f>VLOOKUP(Format1!AN5,Labels!$H$3:$I$92,2,FALSE) + 100</f>
        <v>100</v>
      </c>
      <c r="AO6">
        <f>VLOOKUP(Format1!AO5,Labels!$H$3:$I$92,2,FALSE) + 100</f>
        <v>100</v>
      </c>
      <c r="AP6">
        <f>VLOOKUP(Format1!AP5,Labels!$H$3:$I$92,2,FALSE) + 100</f>
        <v>100</v>
      </c>
      <c r="AQ6">
        <f>VLOOKUP(Format1!AQ5,Labels!$H$3:$I$92,2,FALSE) + 100</f>
        <v>100</v>
      </c>
      <c r="AR6">
        <f>VLOOKUP(Format1!AR5,Labels!$H$3:$I$92,2,FALSE) + 100</f>
        <v>100</v>
      </c>
      <c r="AS6">
        <f>VLOOKUP(Format1!AS5,Labels!$H$3:$I$92,2,FALSE) + 100</f>
        <v>100</v>
      </c>
      <c r="AT6">
        <f>VLOOKUP(Format1!AT5,Labels!$H$3:$I$92,2,FALSE) + 100</f>
        <v>100</v>
      </c>
      <c r="AU6">
        <f>VLOOKUP(Format1!AU5,Labels!$H$3:$I$92,2,FALSE) + 100</f>
        <v>100</v>
      </c>
      <c r="AV6">
        <f>VLOOKUP(Format1!AV5,Labels!$H$3:$I$92,2,FALSE) + 100</f>
        <v>100</v>
      </c>
      <c r="AW6">
        <f>VLOOKUP(Format1!AW5,Labels!$H$3:$I$92,2,FALSE) + 100</f>
        <v>100</v>
      </c>
      <c r="AX6">
        <f>VLOOKUP(Format1!AX5,Labels!$H$3:$I$92,2,FALSE) + 100</f>
        <v>100</v>
      </c>
      <c r="AY6">
        <f>VLOOKUP(Format1!AY5,Labels!$H$3:$I$92,2,FALSE) + 100</f>
        <v>100</v>
      </c>
      <c r="AZ6">
        <f>VLOOKUP(Format1!AZ5,Labels!$H$3:$I$92,2,FALSE) + 100</f>
        <v>100</v>
      </c>
      <c r="BA6">
        <f>VLOOKUP(Format1!BA5,Labels!$H$3:$I$92,2,FALSE) + 100</f>
        <v>100</v>
      </c>
      <c r="BB6">
        <f>VLOOKUP(Format1!BB5,Labels!$H$3:$I$92,2,FALSE) + 100</f>
        <v>100</v>
      </c>
      <c r="BC6">
        <f>VLOOKUP(Format1!BC5,Labels!$H$3:$I$92,2,FALSE) + 100</f>
        <v>100</v>
      </c>
      <c r="BD6">
        <f>VLOOKUP(Format1!BD5,Labels!$H$3:$I$92,2,FALSE) + 100</f>
        <v>100</v>
      </c>
      <c r="BE6">
        <f>VLOOKUP(Format1!BE5,Labels!$H$3:$I$92,2,FALSE) + 100</f>
        <v>100</v>
      </c>
    </row>
    <row r="7" spans="1:57" x14ac:dyDescent="0.35">
      <c r="A7" t="str">
        <v>Parametros</v>
      </c>
      <c r="B7">
        <v>5</v>
      </c>
      <c r="C7">
        <f>VLOOKUP(Format1!C6,Labels!$H$3:$I$92,2,FALSE) + 100</f>
        <v>100</v>
      </c>
      <c r="D7">
        <f>VLOOKUP(Format1!D6,Labels!$H$3:$I$92,2,FALSE) + 100</f>
        <v>100</v>
      </c>
      <c r="E7">
        <f>VLOOKUP(Format1!E6,Labels!$H$3:$I$92,2,FALSE) + 100</f>
        <v>108</v>
      </c>
      <c r="F7">
        <f>VLOOKUP(Format1!F6,Labels!$H$3:$I$92,2,FALSE) + 100</f>
        <v>100</v>
      </c>
      <c r="G7">
        <f>VLOOKUP(Format1!G6,Labels!$H$3:$I$92,2,FALSE) + 100</f>
        <v>100</v>
      </c>
      <c r="H7">
        <f>VLOOKUP(Format1!H6,Labels!$H$3:$I$92,2,FALSE) + 100</f>
        <v>100</v>
      </c>
      <c r="I7">
        <f>VLOOKUP(Format1!I6,Labels!$H$3:$I$92,2,FALSE) + 100</f>
        <v>108</v>
      </c>
      <c r="J7">
        <f>VLOOKUP(Format1!J6,Labels!$H$3:$I$92,2,FALSE) + 100</f>
        <v>107</v>
      </c>
      <c r="K7">
        <f>VLOOKUP(Format1!K6,Labels!$H$3:$I$92,2,FALSE) + 100</f>
        <v>100</v>
      </c>
      <c r="L7">
        <f>VLOOKUP(Format1!L6,Labels!$H$3:$I$92,2,FALSE) + 100</f>
        <v>100</v>
      </c>
      <c r="M7">
        <f>VLOOKUP(Format1!M6,Labels!$H$3:$I$92,2,FALSE) + 100</f>
        <v>100</v>
      </c>
      <c r="N7">
        <f>VLOOKUP(Format1!N6,Labels!$H$3:$I$92,2,FALSE) + 100</f>
        <v>100</v>
      </c>
      <c r="O7">
        <f>VLOOKUP(Format1!O6,Labels!$H$3:$I$92,2,FALSE) + 100</f>
        <v>100</v>
      </c>
      <c r="P7">
        <f>VLOOKUP(Format1!P6,Labels!$H$3:$I$92,2,FALSE) + 100</f>
        <v>100</v>
      </c>
      <c r="Q7">
        <f>VLOOKUP(Format1!Q6,Labels!$H$3:$I$92,2,FALSE) + 100</f>
        <v>100</v>
      </c>
      <c r="R7">
        <f>VLOOKUP(Format1!R6,Labels!$H$3:$I$92,2,FALSE) + 100</f>
        <v>100</v>
      </c>
      <c r="S7">
        <f>VLOOKUP(Format1!S6,Labels!$H$3:$I$92,2,FALSE) + 100</f>
        <v>100</v>
      </c>
      <c r="T7">
        <f>VLOOKUP(Format1!T6,Labels!$H$3:$I$92,2,FALSE) + 100</f>
        <v>100</v>
      </c>
      <c r="U7">
        <f>VLOOKUP(Format1!U6,Labels!$H$3:$I$92,2,FALSE) + 100</f>
        <v>100</v>
      </c>
      <c r="V7">
        <f>VLOOKUP(Format1!V6,Labels!$H$3:$I$92,2,FALSE) + 100</f>
        <v>100</v>
      </c>
      <c r="W7">
        <f>VLOOKUP(Format1!W6,Labels!$H$3:$I$92,2,FALSE) + 100</f>
        <v>100</v>
      </c>
      <c r="X7">
        <f>VLOOKUP(Format1!X6,Labels!$H$3:$I$92,2,FALSE) + 100</f>
        <v>100</v>
      </c>
      <c r="Y7">
        <f>VLOOKUP(Format1!Y6,Labels!$H$3:$I$92,2,FALSE) + 100</f>
        <v>100</v>
      </c>
      <c r="Z7">
        <f>VLOOKUP(Format1!Z6,Labels!$H$3:$I$92,2,FALSE) + 100</f>
        <v>100</v>
      </c>
      <c r="AA7">
        <f>VLOOKUP(Format1!AA6,Labels!$H$3:$I$92,2,FALSE) + 100</f>
        <v>100</v>
      </c>
      <c r="AB7">
        <f>VLOOKUP(Format1!AB6,Labels!$H$3:$I$92,2,FALSE) + 100</f>
        <v>100</v>
      </c>
      <c r="AC7">
        <f>VLOOKUP(Format1!AC6,Labels!$H$3:$I$92,2,FALSE) + 100</f>
        <v>100</v>
      </c>
      <c r="AD7">
        <f>VLOOKUP(Format1!AD6,Labels!$H$3:$I$92,2,FALSE) + 100</f>
        <v>100</v>
      </c>
      <c r="AE7">
        <f>VLOOKUP(Format1!AE6,Labels!$H$3:$I$92,2,FALSE) + 100</f>
        <v>100</v>
      </c>
      <c r="AF7">
        <f>VLOOKUP(Format1!AF6,Labels!$H$3:$I$92,2,FALSE) + 100</f>
        <v>100</v>
      </c>
      <c r="AG7">
        <f>VLOOKUP(Format1!AG6,Labels!$H$3:$I$92,2,FALSE) + 100</f>
        <v>100</v>
      </c>
      <c r="AH7">
        <f>VLOOKUP(Format1!AH6,Labels!$H$3:$I$92,2,FALSE) + 100</f>
        <v>100</v>
      </c>
      <c r="AI7">
        <f>VLOOKUP(Format1!AI6,Labels!$H$3:$I$92,2,FALSE) + 100</f>
        <v>100</v>
      </c>
      <c r="AJ7">
        <f>VLOOKUP(Format1!AJ6,Labels!$H$3:$I$92,2,FALSE) + 100</f>
        <v>100</v>
      </c>
      <c r="AK7">
        <f>VLOOKUP(Format1!AK6,Labels!$H$3:$I$92,2,FALSE) + 100</f>
        <v>100</v>
      </c>
      <c r="AL7">
        <f>VLOOKUP(Format1!AL6,Labels!$H$3:$I$92,2,FALSE) + 100</f>
        <v>100</v>
      </c>
      <c r="AM7">
        <f>VLOOKUP(Format1!AM6,Labels!$H$3:$I$92,2,FALSE) + 100</f>
        <v>100</v>
      </c>
      <c r="AN7">
        <f>VLOOKUP(Format1!AN6,Labels!$H$3:$I$92,2,FALSE) + 100</f>
        <v>100</v>
      </c>
      <c r="AO7">
        <f>VLOOKUP(Format1!AO6,Labels!$H$3:$I$92,2,FALSE) + 100</f>
        <v>100</v>
      </c>
      <c r="AP7">
        <f>VLOOKUP(Format1!AP6,Labels!$H$3:$I$92,2,FALSE) + 100</f>
        <v>100</v>
      </c>
      <c r="AQ7">
        <f>VLOOKUP(Format1!AQ6,Labels!$H$3:$I$92,2,FALSE) + 100</f>
        <v>100</v>
      </c>
      <c r="AR7">
        <f>VLOOKUP(Format1!AR6,Labels!$H$3:$I$92,2,FALSE) + 100</f>
        <v>100</v>
      </c>
      <c r="AS7">
        <f>VLOOKUP(Format1!AS6,Labels!$H$3:$I$92,2,FALSE) + 100</f>
        <v>100</v>
      </c>
      <c r="AT7">
        <f>VLOOKUP(Format1!AT6,Labels!$H$3:$I$92,2,FALSE) + 100</f>
        <v>100</v>
      </c>
      <c r="AU7">
        <f>VLOOKUP(Format1!AU6,Labels!$H$3:$I$92,2,FALSE) + 100</f>
        <v>100</v>
      </c>
      <c r="AV7">
        <f>VLOOKUP(Format1!AV6,Labels!$H$3:$I$92,2,FALSE) + 100</f>
        <v>100</v>
      </c>
      <c r="AW7">
        <f>VLOOKUP(Format1!AW6,Labels!$H$3:$I$92,2,FALSE) + 100</f>
        <v>100</v>
      </c>
      <c r="AX7">
        <f>VLOOKUP(Format1!AX6,Labels!$H$3:$I$92,2,FALSE) + 100</f>
        <v>100</v>
      </c>
      <c r="AY7">
        <f>VLOOKUP(Format1!AY6,Labels!$H$3:$I$92,2,FALSE) + 100</f>
        <v>100</v>
      </c>
      <c r="AZ7">
        <f>VLOOKUP(Format1!AZ6,Labels!$H$3:$I$92,2,FALSE) + 100</f>
        <v>100</v>
      </c>
      <c r="BA7">
        <f>VLOOKUP(Format1!BA6,Labels!$H$3:$I$92,2,FALSE) + 100</f>
        <v>100</v>
      </c>
      <c r="BB7">
        <f>VLOOKUP(Format1!BB6,Labels!$H$3:$I$92,2,FALSE) + 100</f>
        <v>100</v>
      </c>
      <c r="BC7">
        <f>VLOOKUP(Format1!BC6,Labels!$H$3:$I$92,2,FALSE) + 100</f>
        <v>100</v>
      </c>
      <c r="BD7">
        <f>VLOOKUP(Format1!BD6,Labels!$H$3:$I$92,2,FALSE) + 100</f>
        <v>100</v>
      </c>
      <c r="BE7">
        <f>VLOOKUP(Format1!BE6,Labels!$H$3:$I$92,2,FALSE) + 100</f>
        <v>100</v>
      </c>
    </row>
    <row r="8" spans="1:57" x14ac:dyDescent="0.35">
      <c r="A8" t="str">
        <v>DeclaraParametros</v>
      </c>
      <c r="B8">
        <v>6</v>
      </c>
      <c r="C8">
        <f>VLOOKUP(Format1!C7,Labels!$H$3:$I$92,2,FALSE) + 100</f>
        <v>100</v>
      </c>
      <c r="D8">
        <f>VLOOKUP(Format1!D7,Labels!$H$3:$I$92,2,FALSE) + 100</f>
        <v>109</v>
      </c>
      <c r="E8">
        <f>VLOOKUP(Format1!E7,Labels!$H$3:$I$92,2,FALSE) + 100</f>
        <v>100</v>
      </c>
      <c r="F8">
        <f>VLOOKUP(Format1!F7,Labels!$H$3:$I$92,2,FALSE) + 100</f>
        <v>100</v>
      </c>
      <c r="G8">
        <f>VLOOKUP(Format1!G7,Labels!$H$3:$I$92,2,FALSE) + 100</f>
        <v>110</v>
      </c>
      <c r="H8">
        <f>VLOOKUP(Format1!H7,Labels!$H$3:$I$92,2,FALSE) + 100</f>
        <v>110</v>
      </c>
      <c r="I8">
        <f>VLOOKUP(Format1!I7,Labels!$H$3:$I$92,2,FALSE) + 100</f>
        <v>100</v>
      </c>
      <c r="J8">
        <f>VLOOKUP(Format1!J7,Labels!$H$3:$I$92,2,FALSE) + 100</f>
        <v>100</v>
      </c>
      <c r="K8">
        <f>VLOOKUP(Format1!K7,Labels!$H$3:$I$92,2,FALSE) + 100</f>
        <v>100</v>
      </c>
      <c r="L8">
        <f>VLOOKUP(Format1!L7,Labels!$H$3:$I$92,2,FALSE) + 100</f>
        <v>110</v>
      </c>
      <c r="M8">
        <f>VLOOKUP(Format1!M7,Labels!$H$3:$I$92,2,FALSE) + 100</f>
        <v>109</v>
      </c>
      <c r="N8">
        <f>VLOOKUP(Format1!N7,Labels!$H$3:$I$92,2,FALSE) + 100</f>
        <v>100</v>
      </c>
      <c r="O8">
        <f>VLOOKUP(Format1!O7,Labels!$H$3:$I$92,2,FALSE) + 100</f>
        <v>100</v>
      </c>
      <c r="P8">
        <f>VLOOKUP(Format1!P7,Labels!$H$3:$I$92,2,FALSE) + 100</f>
        <v>100</v>
      </c>
      <c r="Q8">
        <f>VLOOKUP(Format1!Q7,Labels!$H$3:$I$92,2,FALSE) + 100</f>
        <v>100</v>
      </c>
      <c r="R8">
        <f>VLOOKUP(Format1!R7,Labels!$H$3:$I$92,2,FALSE) + 100</f>
        <v>100</v>
      </c>
      <c r="S8">
        <f>VLOOKUP(Format1!S7,Labels!$H$3:$I$92,2,FALSE) + 100</f>
        <v>100</v>
      </c>
      <c r="T8">
        <f>VLOOKUP(Format1!T7,Labels!$H$3:$I$92,2,FALSE) + 100</f>
        <v>100</v>
      </c>
      <c r="U8">
        <f>VLOOKUP(Format1!U7,Labels!$H$3:$I$92,2,FALSE) + 100</f>
        <v>109</v>
      </c>
      <c r="V8">
        <f>VLOOKUP(Format1!V7,Labels!$H$3:$I$92,2,FALSE) + 100</f>
        <v>109</v>
      </c>
      <c r="W8">
        <f>VLOOKUP(Format1!W7,Labels!$H$3:$I$92,2,FALSE) + 100</f>
        <v>109</v>
      </c>
      <c r="X8">
        <f>VLOOKUP(Format1!X7,Labels!$H$3:$I$92,2,FALSE) + 100</f>
        <v>109</v>
      </c>
      <c r="Y8">
        <f>VLOOKUP(Format1!Y7,Labels!$H$3:$I$92,2,FALSE) + 100</f>
        <v>110</v>
      </c>
      <c r="Z8">
        <f>VLOOKUP(Format1!Z7,Labels!$H$3:$I$92,2,FALSE) + 100</f>
        <v>100</v>
      </c>
      <c r="AA8">
        <f>VLOOKUP(Format1!AA7,Labels!$H$3:$I$92,2,FALSE) + 100</f>
        <v>100</v>
      </c>
      <c r="AB8">
        <f>VLOOKUP(Format1!AB7,Labels!$H$3:$I$92,2,FALSE) + 100</f>
        <v>100</v>
      </c>
      <c r="AC8">
        <f>VLOOKUP(Format1!AC7,Labels!$H$3:$I$92,2,FALSE) + 100</f>
        <v>100</v>
      </c>
      <c r="AD8">
        <f>VLOOKUP(Format1!AD7,Labels!$H$3:$I$92,2,FALSE) + 100</f>
        <v>100</v>
      </c>
      <c r="AE8">
        <f>VLOOKUP(Format1!AE7,Labels!$H$3:$I$92,2,FALSE) + 100</f>
        <v>100</v>
      </c>
      <c r="AF8">
        <f>VLOOKUP(Format1!AF7,Labels!$H$3:$I$92,2,FALSE) + 100</f>
        <v>100</v>
      </c>
      <c r="AG8">
        <f>VLOOKUP(Format1!AG7,Labels!$H$3:$I$92,2,FALSE) + 100</f>
        <v>100</v>
      </c>
      <c r="AH8">
        <f>VLOOKUP(Format1!AH7,Labels!$H$3:$I$92,2,FALSE) + 100</f>
        <v>100</v>
      </c>
      <c r="AI8">
        <f>VLOOKUP(Format1!AI7,Labels!$H$3:$I$92,2,FALSE) + 100</f>
        <v>100</v>
      </c>
      <c r="AJ8">
        <f>VLOOKUP(Format1!AJ7,Labels!$H$3:$I$92,2,FALSE) + 100</f>
        <v>100</v>
      </c>
      <c r="AK8">
        <f>VLOOKUP(Format1!AK7,Labels!$H$3:$I$92,2,FALSE) + 100</f>
        <v>100</v>
      </c>
      <c r="AL8">
        <f>VLOOKUP(Format1!AL7,Labels!$H$3:$I$92,2,FALSE) + 100</f>
        <v>100</v>
      </c>
      <c r="AM8">
        <f>VLOOKUP(Format1!AM7,Labels!$H$3:$I$92,2,FALSE) + 100</f>
        <v>100</v>
      </c>
      <c r="AN8">
        <f>VLOOKUP(Format1!AN7,Labels!$H$3:$I$92,2,FALSE) + 100</f>
        <v>100</v>
      </c>
      <c r="AO8">
        <f>VLOOKUP(Format1!AO7,Labels!$H$3:$I$92,2,FALSE) + 100</f>
        <v>100</v>
      </c>
      <c r="AP8">
        <f>VLOOKUP(Format1!AP7,Labels!$H$3:$I$92,2,FALSE) + 100</f>
        <v>100</v>
      </c>
      <c r="AQ8">
        <f>VLOOKUP(Format1!AQ7,Labels!$H$3:$I$92,2,FALSE) + 100</f>
        <v>100</v>
      </c>
      <c r="AR8">
        <f>VLOOKUP(Format1!AR7,Labels!$H$3:$I$92,2,FALSE) + 100</f>
        <v>100</v>
      </c>
      <c r="AS8">
        <f>VLOOKUP(Format1!AS7,Labels!$H$3:$I$92,2,FALSE) + 100</f>
        <v>100</v>
      </c>
      <c r="AT8">
        <f>VLOOKUP(Format1!AT7,Labels!$H$3:$I$92,2,FALSE) + 100</f>
        <v>100</v>
      </c>
      <c r="AU8">
        <f>VLOOKUP(Format1!AU7,Labels!$H$3:$I$92,2,FALSE) + 100</f>
        <v>100</v>
      </c>
      <c r="AV8">
        <f>VLOOKUP(Format1!AV7,Labels!$H$3:$I$92,2,FALSE) + 100</f>
        <v>100</v>
      </c>
      <c r="AW8">
        <f>VLOOKUP(Format1!AW7,Labels!$H$3:$I$92,2,FALSE) + 100</f>
        <v>100</v>
      </c>
      <c r="AX8">
        <f>VLOOKUP(Format1!AX7,Labels!$H$3:$I$92,2,FALSE) + 100</f>
        <v>100</v>
      </c>
      <c r="AY8">
        <f>VLOOKUP(Format1!AY7,Labels!$H$3:$I$92,2,FALSE) + 100</f>
        <v>100</v>
      </c>
      <c r="AZ8">
        <f>VLOOKUP(Format1!AZ7,Labels!$H$3:$I$92,2,FALSE) + 100</f>
        <v>100</v>
      </c>
      <c r="BA8">
        <f>VLOOKUP(Format1!BA7,Labels!$H$3:$I$92,2,FALSE) + 100</f>
        <v>100</v>
      </c>
      <c r="BB8">
        <f>VLOOKUP(Format1!BB7,Labels!$H$3:$I$92,2,FALSE) + 100</f>
        <v>100</v>
      </c>
      <c r="BC8">
        <f>VLOOKUP(Format1!BC7,Labels!$H$3:$I$92,2,FALSE) + 100</f>
        <v>100</v>
      </c>
      <c r="BD8">
        <f>VLOOKUP(Format1!BD7,Labels!$H$3:$I$92,2,FALSE) + 100</f>
        <v>100</v>
      </c>
      <c r="BE8">
        <f>VLOOKUP(Format1!BE7,Labels!$H$3:$I$92,2,FALSE) + 100</f>
        <v>100</v>
      </c>
    </row>
    <row r="9" spans="1:57" x14ac:dyDescent="0.35">
      <c r="A9" t="str">
        <v>BlocoVariaveis</v>
      </c>
      <c r="B9">
        <v>7</v>
      </c>
      <c r="C9">
        <f>VLOOKUP(Format1!C8,Labels!$H$3:$I$92,2,FALSE) + 100</f>
        <v>100</v>
      </c>
      <c r="D9">
        <f>VLOOKUP(Format1!D8,Labels!$H$3:$I$92,2,FALSE) + 100</f>
        <v>100</v>
      </c>
      <c r="E9">
        <f>VLOOKUP(Format1!E8,Labels!$H$3:$I$92,2,FALSE) + 100</f>
        <v>100</v>
      </c>
      <c r="F9">
        <f>VLOOKUP(Format1!F8,Labels!$H$3:$I$92,2,FALSE) + 100</f>
        <v>100</v>
      </c>
      <c r="G9">
        <f>VLOOKUP(Format1!G8,Labels!$H$3:$I$92,2,FALSE) + 100</f>
        <v>112</v>
      </c>
      <c r="H9">
        <f>VLOOKUP(Format1!H8,Labels!$H$3:$I$92,2,FALSE) + 100</f>
        <v>112</v>
      </c>
      <c r="I9">
        <f>VLOOKUP(Format1!I8,Labels!$H$3:$I$92,2,FALSE) + 100</f>
        <v>100</v>
      </c>
      <c r="J9">
        <f>VLOOKUP(Format1!J8,Labels!$H$3:$I$92,2,FALSE) + 100</f>
        <v>100</v>
      </c>
      <c r="K9">
        <f>VLOOKUP(Format1!K8,Labels!$H$3:$I$92,2,FALSE) + 100</f>
        <v>100</v>
      </c>
      <c r="L9">
        <f>VLOOKUP(Format1!L8,Labels!$H$3:$I$92,2,FALSE) + 100</f>
        <v>111</v>
      </c>
      <c r="M9">
        <f>VLOOKUP(Format1!M8,Labels!$H$3:$I$92,2,FALSE) + 100</f>
        <v>100</v>
      </c>
      <c r="N9">
        <f>VLOOKUP(Format1!N8,Labels!$H$3:$I$92,2,FALSE) + 100</f>
        <v>100</v>
      </c>
      <c r="O9">
        <f>VLOOKUP(Format1!O8,Labels!$H$3:$I$92,2,FALSE) + 100</f>
        <v>100</v>
      </c>
      <c r="P9">
        <f>VLOOKUP(Format1!P8,Labels!$H$3:$I$92,2,FALSE) + 100</f>
        <v>100</v>
      </c>
      <c r="Q9">
        <f>VLOOKUP(Format1!Q8,Labels!$H$3:$I$92,2,FALSE) + 100</f>
        <v>100</v>
      </c>
      <c r="R9">
        <f>VLOOKUP(Format1!R8,Labels!$H$3:$I$92,2,FALSE) + 100</f>
        <v>100</v>
      </c>
      <c r="S9">
        <f>VLOOKUP(Format1!S8,Labels!$H$3:$I$92,2,FALSE) + 100</f>
        <v>100</v>
      </c>
      <c r="T9">
        <f>VLOOKUP(Format1!T8,Labels!$H$3:$I$92,2,FALSE) + 100</f>
        <v>100</v>
      </c>
      <c r="U9">
        <f>VLOOKUP(Format1!U8,Labels!$H$3:$I$92,2,FALSE) + 100</f>
        <v>100</v>
      </c>
      <c r="V9">
        <f>VLOOKUP(Format1!V8,Labels!$H$3:$I$92,2,FALSE) + 100</f>
        <v>100</v>
      </c>
      <c r="W9">
        <f>VLOOKUP(Format1!W8,Labels!$H$3:$I$92,2,FALSE) + 100</f>
        <v>100</v>
      </c>
      <c r="X9">
        <f>VLOOKUP(Format1!X8,Labels!$H$3:$I$92,2,FALSE) + 100</f>
        <v>100</v>
      </c>
      <c r="Y9">
        <f>VLOOKUP(Format1!Y8,Labels!$H$3:$I$92,2,FALSE) + 100</f>
        <v>112</v>
      </c>
      <c r="Z9">
        <f>VLOOKUP(Format1!Z8,Labels!$H$3:$I$92,2,FALSE) + 100</f>
        <v>100</v>
      </c>
      <c r="AA9">
        <f>VLOOKUP(Format1!AA8,Labels!$H$3:$I$92,2,FALSE) + 100</f>
        <v>100</v>
      </c>
      <c r="AB9">
        <f>VLOOKUP(Format1!AB8,Labels!$H$3:$I$92,2,FALSE) + 100</f>
        <v>100</v>
      </c>
      <c r="AC9">
        <f>VLOOKUP(Format1!AC8,Labels!$H$3:$I$92,2,FALSE) + 100</f>
        <v>100</v>
      </c>
      <c r="AD9">
        <f>VLOOKUP(Format1!AD8,Labels!$H$3:$I$92,2,FALSE) + 100</f>
        <v>100</v>
      </c>
      <c r="AE9">
        <f>VLOOKUP(Format1!AE8,Labels!$H$3:$I$92,2,FALSE) + 100</f>
        <v>100</v>
      </c>
      <c r="AF9">
        <f>VLOOKUP(Format1!AF8,Labels!$H$3:$I$92,2,FALSE) + 100</f>
        <v>100</v>
      </c>
      <c r="AG9">
        <f>VLOOKUP(Format1!AG8,Labels!$H$3:$I$92,2,FALSE) + 100</f>
        <v>100</v>
      </c>
      <c r="AH9">
        <f>VLOOKUP(Format1!AH8,Labels!$H$3:$I$92,2,FALSE) + 100</f>
        <v>100</v>
      </c>
      <c r="AI9">
        <f>VLOOKUP(Format1!AI8,Labels!$H$3:$I$92,2,FALSE) + 100</f>
        <v>100</v>
      </c>
      <c r="AJ9">
        <f>VLOOKUP(Format1!AJ8,Labels!$H$3:$I$92,2,FALSE) + 100</f>
        <v>100</v>
      </c>
      <c r="AK9">
        <f>VLOOKUP(Format1!AK8,Labels!$H$3:$I$92,2,FALSE) + 100</f>
        <v>100</v>
      </c>
      <c r="AL9">
        <f>VLOOKUP(Format1!AL8,Labels!$H$3:$I$92,2,FALSE) + 100</f>
        <v>100</v>
      </c>
      <c r="AM9">
        <f>VLOOKUP(Format1!AM8,Labels!$H$3:$I$92,2,FALSE) + 100</f>
        <v>100</v>
      </c>
      <c r="AN9">
        <f>VLOOKUP(Format1!AN8,Labels!$H$3:$I$92,2,FALSE) + 100</f>
        <v>100</v>
      </c>
      <c r="AO9">
        <f>VLOOKUP(Format1!AO8,Labels!$H$3:$I$92,2,FALSE) + 100</f>
        <v>100</v>
      </c>
      <c r="AP9">
        <f>VLOOKUP(Format1!AP8,Labels!$H$3:$I$92,2,FALSE) + 100</f>
        <v>100</v>
      </c>
      <c r="AQ9">
        <f>VLOOKUP(Format1!AQ8,Labels!$H$3:$I$92,2,FALSE) + 100</f>
        <v>100</v>
      </c>
      <c r="AR9">
        <f>VLOOKUP(Format1!AR8,Labels!$H$3:$I$92,2,FALSE) + 100</f>
        <v>100</v>
      </c>
      <c r="AS9">
        <f>VLOOKUP(Format1!AS8,Labels!$H$3:$I$92,2,FALSE) + 100</f>
        <v>100</v>
      </c>
      <c r="AT9">
        <f>VLOOKUP(Format1!AT8,Labels!$H$3:$I$92,2,FALSE) + 100</f>
        <v>100</v>
      </c>
      <c r="AU9">
        <f>VLOOKUP(Format1!AU8,Labels!$H$3:$I$92,2,FALSE) + 100</f>
        <v>100</v>
      </c>
      <c r="AV9">
        <f>VLOOKUP(Format1!AV8,Labels!$H$3:$I$92,2,FALSE) + 100</f>
        <v>100</v>
      </c>
      <c r="AW9">
        <f>VLOOKUP(Format1!AW8,Labels!$H$3:$I$92,2,FALSE) + 100</f>
        <v>100</v>
      </c>
      <c r="AX9">
        <f>VLOOKUP(Format1!AX8,Labels!$H$3:$I$92,2,FALSE) + 100</f>
        <v>100</v>
      </c>
      <c r="AY9">
        <f>VLOOKUP(Format1!AY8,Labels!$H$3:$I$92,2,FALSE) + 100</f>
        <v>100</v>
      </c>
      <c r="AZ9">
        <f>VLOOKUP(Format1!AZ8,Labels!$H$3:$I$92,2,FALSE) + 100</f>
        <v>100</v>
      </c>
      <c r="BA9">
        <f>VLOOKUP(Format1!BA8,Labels!$H$3:$I$92,2,FALSE) + 100</f>
        <v>100</v>
      </c>
      <c r="BB9">
        <f>VLOOKUP(Format1!BB8,Labels!$H$3:$I$92,2,FALSE) + 100</f>
        <v>100</v>
      </c>
      <c r="BC9">
        <f>VLOOKUP(Format1!BC8,Labels!$H$3:$I$92,2,FALSE) + 100</f>
        <v>100</v>
      </c>
      <c r="BD9">
        <f>VLOOKUP(Format1!BD8,Labels!$H$3:$I$92,2,FALSE) + 100</f>
        <v>100</v>
      </c>
      <c r="BE9">
        <f>VLOOKUP(Format1!BE8,Labels!$H$3:$I$92,2,FALSE) + 100</f>
        <v>112</v>
      </c>
    </row>
    <row r="10" spans="1:57" x14ac:dyDescent="0.35">
      <c r="A10" t="str">
        <v>Declaracoes</v>
      </c>
      <c r="B10">
        <v>8</v>
      </c>
      <c r="C10">
        <f>VLOOKUP(Format1!C9,Labels!$H$3:$I$92,2,FALSE) + 100</f>
        <v>100</v>
      </c>
      <c r="D10">
        <f>VLOOKUP(Format1!D9,Labels!$H$3:$I$92,2,FALSE) + 100</f>
        <v>113</v>
      </c>
      <c r="E10">
        <f>VLOOKUP(Format1!E9,Labels!$H$3:$I$92,2,FALSE) + 100</f>
        <v>100</v>
      </c>
      <c r="F10">
        <f>VLOOKUP(Format1!F9,Labels!$H$3:$I$92,2,FALSE) + 100</f>
        <v>100</v>
      </c>
      <c r="G10">
        <f>VLOOKUP(Format1!G9,Labels!$H$3:$I$92,2,FALSE) + 100</f>
        <v>100</v>
      </c>
      <c r="H10">
        <f>VLOOKUP(Format1!H9,Labels!$H$3:$I$92,2,FALSE) + 100</f>
        <v>100</v>
      </c>
      <c r="I10">
        <f>VLOOKUP(Format1!I9,Labels!$H$3:$I$92,2,FALSE) + 100</f>
        <v>100</v>
      </c>
      <c r="J10">
        <f>VLOOKUP(Format1!J9,Labels!$H$3:$I$92,2,FALSE) + 100</f>
        <v>100</v>
      </c>
      <c r="K10">
        <f>VLOOKUP(Format1!K9,Labels!$H$3:$I$92,2,FALSE) + 100</f>
        <v>100</v>
      </c>
      <c r="L10">
        <f>VLOOKUP(Format1!L9,Labels!$H$3:$I$92,2,FALSE) + 100</f>
        <v>100</v>
      </c>
      <c r="M10">
        <f>VLOOKUP(Format1!M9,Labels!$H$3:$I$92,2,FALSE) + 100</f>
        <v>113</v>
      </c>
      <c r="N10">
        <f>VLOOKUP(Format1!N9,Labels!$H$3:$I$92,2,FALSE) + 100</f>
        <v>100</v>
      </c>
      <c r="O10">
        <f>VLOOKUP(Format1!O9,Labels!$H$3:$I$92,2,FALSE) + 100</f>
        <v>100</v>
      </c>
      <c r="P10">
        <f>VLOOKUP(Format1!P9,Labels!$H$3:$I$92,2,FALSE) + 100</f>
        <v>100</v>
      </c>
      <c r="Q10">
        <f>VLOOKUP(Format1!Q9,Labels!$H$3:$I$92,2,FALSE) + 100</f>
        <v>100</v>
      </c>
      <c r="R10">
        <f>VLOOKUP(Format1!R9,Labels!$H$3:$I$92,2,FALSE) + 100</f>
        <v>100</v>
      </c>
      <c r="S10">
        <f>VLOOKUP(Format1!S9,Labels!$H$3:$I$92,2,FALSE) + 100</f>
        <v>100</v>
      </c>
      <c r="T10">
        <f>VLOOKUP(Format1!T9,Labels!$H$3:$I$92,2,FALSE) + 100</f>
        <v>100</v>
      </c>
      <c r="U10">
        <f>VLOOKUP(Format1!U9,Labels!$H$3:$I$92,2,FALSE) + 100</f>
        <v>113</v>
      </c>
      <c r="V10">
        <f>VLOOKUP(Format1!V9,Labels!$H$3:$I$92,2,FALSE) + 100</f>
        <v>113</v>
      </c>
      <c r="W10">
        <f>VLOOKUP(Format1!W9,Labels!$H$3:$I$92,2,FALSE) + 100</f>
        <v>113</v>
      </c>
      <c r="X10">
        <f>VLOOKUP(Format1!X9,Labels!$H$3:$I$92,2,FALSE) + 100</f>
        <v>113</v>
      </c>
      <c r="Y10">
        <f>VLOOKUP(Format1!Y9,Labels!$H$3:$I$92,2,FALSE) + 100</f>
        <v>100</v>
      </c>
      <c r="Z10">
        <f>VLOOKUP(Format1!Z9,Labels!$H$3:$I$92,2,FALSE) + 100</f>
        <v>100</v>
      </c>
      <c r="AA10">
        <f>VLOOKUP(Format1!AA9,Labels!$H$3:$I$92,2,FALSE) + 100</f>
        <v>100</v>
      </c>
      <c r="AB10">
        <f>VLOOKUP(Format1!AB9,Labels!$H$3:$I$92,2,FALSE) + 100</f>
        <v>100</v>
      </c>
      <c r="AC10">
        <f>VLOOKUP(Format1!AC9,Labels!$H$3:$I$92,2,FALSE) + 100</f>
        <v>100</v>
      </c>
      <c r="AD10">
        <f>VLOOKUP(Format1!AD9,Labels!$H$3:$I$92,2,FALSE) + 100</f>
        <v>100</v>
      </c>
      <c r="AE10">
        <f>VLOOKUP(Format1!AE9,Labels!$H$3:$I$92,2,FALSE) + 100</f>
        <v>100</v>
      </c>
      <c r="AF10">
        <f>VLOOKUP(Format1!AF9,Labels!$H$3:$I$92,2,FALSE) + 100</f>
        <v>100</v>
      </c>
      <c r="AG10">
        <f>VLOOKUP(Format1!AG9,Labels!$H$3:$I$92,2,FALSE) + 100</f>
        <v>100</v>
      </c>
      <c r="AH10">
        <f>VLOOKUP(Format1!AH9,Labels!$H$3:$I$92,2,FALSE) + 100</f>
        <v>100</v>
      </c>
      <c r="AI10">
        <f>VLOOKUP(Format1!AI9,Labels!$H$3:$I$92,2,FALSE) + 100</f>
        <v>100</v>
      </c>
      <c r="AJ10">
        <f>VLOOKUP(Format1!AJ9,Labels!$H$3:$I$92,2,FALSE) + 100</f>
        <v>100</v>
      </c>
      <c r="AK10">
        <f>VLOOKUP(Format1!AK9,Labels!$H$3:$I$92,2,FALSE) + 100</f>
        <v>100</v>
      </c>
      <c r="AL10">
        <f>VLOOKUP(Format1!AL9,Labels!$H$3:$I$92,2,FALSE) + 100</f>
        <v>100</v>
      </c>
      <c r="AM10">
        <f>VLOOKUP(Format1!AM9,Labels!$H$3:$I$92,2,FALSE) + 100</f>
        <v>100</v>
      </c>
      <c r="AN10">
        <f>VLOOKUP(Format1!AN9,Labels!$H$3:$I$92,2,FALSE) + 100</f>
        <v>100</v>
      </c>
      <c r="AO10">
        <f>VLOOKUP(Format1!AO9,Labels!$H$3:$I$92,2,FALSE) + 100</f>
        <v>100</v>
      </c>
      <c r="AP10">
        <f>VLOOKUP(Format1!AP9,Labels!$H$3:$I$92,2,FALSE) + 100</f>
        <v>100</v>
      </c>
      <c r="AQ10">
        <f>VLOOKUP(Format1!AQ9,Labels!$H$3:$I$92,2,FALSE) + 100</f>
        <v>100</v>
      </c>
      <c r="AR10">
        <f>VLOOKUP(Format1!AR9,Labels!$H$3:$I$92,2,FALSE) + 100</f>
        <v>100</v>
      </c>
      <c r="AS10">
        <f>VLOOKUP(Format1!AS9,Labels!$H$3:$I$92,2,FALSE) + 100</f>
        <v>100</v>
      </c>
      <c r="AT10">
        <f>VLOOKUP(Format1!AT9,Labels!$H$3:$I$92,2,FALSE) + 100</f>
        <v>100</v>
      </c>
      <c r="AU10">
        <f>VLOOKUP(Format1!AU9,Labels!$H$3:$I$92,2,FALSE) + 100</f>
        <v>100</v>
      </c>
      <c r="AV10">
        <f>VLOOKUP(Format1!AV9,Labels!$H$3:$I$92,2,FALSE) + 100</f>
        <v>100</v>
      </c>
      <c r="AW10">
        <f>VLOOKUP(Format1!AW9,Labels!$H$3:$I$92,2,FALSE) + 100</f>
        <v>100</v>
      </c>
      <c r="AX10">
        <f>VLOOKUP(Format1!AX9,Labels!$H$3:$I$92,2,FALSE) + 100</f>
        <v>100</v>
      </c>
      <c r="AY10">
        <f>VLOOKUP(Format1!AY9,Labels!$H$3:$I$92,2,FALSE) + 100</f>
        <v>100</v>
      </c>
      <c r="AZ10">
        <f>VLOOKUP(Format1!AZ9,Labels!$H$3:$I$92,2,FALSE) + 100</f>
        <v>100</v>
      </c>
      <c r="BA10">
        <f>VLOOKUP(Format1!BA9,Labels!$H$3:$I$92,2,FALSE) + 100</f>
        <v>100</v>
      </c>
      <c r="BB10">
        <f>VLOOKUP(Format1!BB9,Labels!$H$3:$I$92,2,FALSE) + 100</f>
        <v>100</v>
      </c>
      <c r="BC10">
        <f>VLOOKUP(Format1!BC9,Labels!$H$3:$I$92,2,FALSE) + 100</f>
        <v>100</v>
      </c>
      <c r="BD10">
        <f>VLOOKUP(Format1!BD9,Labels!$H$3:$I$92,2,FALSE) + 100</f>
        <v>100</v>
      </c>
      <c r="BE10">
        <f>VLOOKUP(Format1!BE9,Labels!$H$3:$I$92,2,FALSE) + 100</f>
        <v>100</v>
      </c>
    </row>
    <row r="11" spans="1:57" x14ac:dyDescent="0.35">
      <c r="A11" t="str">
        <v>DeclaracoesBonus</v>
      </c>
      <c r="B11">
        <v>9</v>
      </c>
      <c r="C11">
        <f>VLOOKUP(Format1!C10,Labels!$H$3:$I$92,2,FALSE) + 100</f>
        <v>100</v>
      </c>
      <c r="D11">
        <f>VLOOKUP(Format1!D10,Labels!$H$3:$I$92,2,FALSE) + 100</f>
        <v>114</v>
      </c>
      <c r="E11">
        <f>VLOOKUP(Format1!E10,Labels!$H$3:$I$92,2,FALSE) + 100</f>
        <v>100</v>
      </c>
      <c r="F11">
        <f>VLOOKUP(Format1!F10,Labels!$H$3:$I$92,2,FALSE) + 100</f>
        <v>100</v>
      </c>
      <c r="G11">
        <f>VLOOKUP(Format1!G10,Labels!$H$3:$I$92,2,FALSE) + 100</f>
        <v>115</v>
      </c>
      <c r="H11">
        <f>VLOOKUP(Format1!H10,Labels!$H$3:$I$92,2,FALSE) + 100</f>
        <v>115</v>
      </c>
      <c r="I11">
        <f>VLOOKUP(Format1!I10,Labels!$H$3:$I$92,2,FALSE) + 100</f>
        <v>100</v>
      </c>
      <c r="J11">
        <f>VLOOKUP(Format1!J10,Labels!$H$3:$I$92,2,FALSE) + 100</f>
        <v>100</v>
      </c>
      <c r="K11">
        <f>VLOOKUP(Format1!K10,Labels!$H$3:$I$92,2,FALSE) + 100</f>
        <v>100</v>
      </c>
      <c r="L11">
        <f>VLOOKUP(Format1!L10,Labels!$H$3:$I$92,2,FALSE) + 100</f>
        <v>115</v>
      </c>
      <c r="M11">
        <f>VLOOKUP(Format1!M10,Labels!$H$3:$I$92,2,FALSE) + 100</f>
        <v>114</v>
      </c>
      <c r="N11">
        <f>VLOOKUP(Format1!N10,Labels!$H$3:$I$92,2,FALSE) + 100</f>
        <v>100</v>
      </c>
      <c r="O11">
        <f>VLOOKUP(Format1!O10,Labels!$H$3:$I$92,2,FALSE) + 100</f>
        <v>100</v>
      </c>
      <c r="P11">
        <f>VLOOKUP(Format1!P10,Labels!$H$3:$I$92,2,FALSE) + 100</f>
        <v>100</v>
      </c>
      <c r="Q11">
        <f>VLOOKUP(Format1!Q10,Labels!$H$3:$I$92,2,FALSE) + 100</f>
        <v>100</v>
      </c>
      <c r="R11">
        <f>VLOOKUP(Format1!R10,Labels!$H$3:$I$92,2,FALSE) + 100</f>
        <v>100</v>
      </c>
      <c r="S11">
        <f>VLOOKUP(Format1!S10,Labels!$H$3:$I$92,2,FALSE) + 100</f>
        <v>100</v>
      </c>
      <c r="T11">
        <f>VLOOKUP(Format1!T10,Labels!$H$3:$I$92,2,FALSE) + 100</f>
        <v>100</v>
      </c>
      <c r="U11">
        <f>VLOOKUP(Format1!U10,Labels!$H$3:$I$92,2,FALSE) + 100</f>
        <v>114</v>
      </c>
      <c r="V11">
        <f>VLOOKUP(Format1!V10,Labels!$H$3:$I$92,2,FALSE) + 100</f>
        <v>114</v>
      </c>
      <c r="W11">
        <f>VLOOKUP(Format1!W10,Labels!$H$3:$I$92,2,FALSE) + 100</f>
        <v>114</v>
      </c>
      <c r="X11">
        <f>VLOOKUP(Format1!X10,Labels!$H$3:$I$92,2,FALSE) + 100</f>
        <v>114</v>
      </c>
      <c r="Y11">
        <f>VLOOKUP(Format1!Y10,Labels!$H$3:$I$92,2,FALSE) + 100</f>
        <v>115</v>
      </c>
      <c r="Z11">
        <f>VLOOKUP(Format1!Z10,Labels!$H$3:$I$92,2,FALSE) + 100</f>
        <v>100</v>
      </c>
      <c r="AA11">
        <f>VLOOKUP(Format1!AA10,Labels!$H$3:$I$92,2,FALSE) + 100</f>
        <v>100</v>
      </c>
      <c r="AB11">
        <f>VLOOKUP(Format1!AB10,Labels!$H$3:$I$92,2,FALSE) + 100</f>
        <v>100</v>
      </c>
      <c r="AC11">
        <f>VLOOKUP(Format1!AC10,Labels!$H$3:$I$92,2,FALSE) + 100</f>
        <v>100</v>
      </c>
      <c r="AD11">
        <f>VLOOKUP(Format1!AD10,Labels!$H$3:$I$92,2,FALSE) + 100</f>
        <v>100</v>
      </c>
      <c r="AE11">
        <f>VLOOKUP(Format1!AE10,Labels!$H$3:$I$92,2,FALSE) + 100</f>
        <v>100</v>
      </c>
      <c r="AF11">
        <f>VLOOKUP(Format1!AF10,Labels!$H$3:$I$92,2,FALSE) + 100</f>
        <v>100</v>
      </c>
      <c r="AG11">
        <f>VLOOKUP(Format1!AG10,Labels!$H$3:$I$92,2,FALSE) + 100</f>
        <v>100</v>
      </c>
      <c r="AH11">
        <f>VLOOKUP(Format1!AH10,Labels!$H$3:$I$92,2,FALSE) + 100</f>
        <v>100</v>
      </c>
      <c r="AI11">
        <f>VLOOKUP(Format1!AI10,Labels!$H$3:$I$92,2,FALSE) + 100</f>
        <v>100</v>
      </c>
      <c r="AJ11">
        <f>VLOOKUP(Format1!AJ10,Labels!$H$3:$I$92,2,FALSE) + 100</f>
        <v>100</v>
      </c>
      <c r="AK11">
        <f>VLOOKUP(Format1!AK10,Labels!$H$3:$I$92,2,FALSE) + 100</f>
        <v>100</v>
      </c>
      <c r="AL11">
        <f>VLOOKUP(Format1!AL10,Labels!$H$3:$I$92,2,FALSE) + 100</f>
        <v>100</v>
      </c>
      <c r="AM11">
        <f>VLOOKUP(Format1!AM10,Labels!$H$3:$I$92,2,FALSE) + 100</f>
        <v>100</v>
      </c>
      <c r="AN11">
        <f>VLOOKUP(Format1!AN10,Labels!$H$3:$I$92,2,FALSE) + 100</f>
        <v>100</v>
      </c>
      <c r="AO11">
        <f>VLOOKUP(Format1!AO10,Labels!$H$3:$I$92,2,FALSE) + 100</f>
        <v>100</v>
      </c>
      <c r="AP11">
        <f>VLOOKUP(Format1!AP10,Labels!$H$3:$I$92,2,FALSE) + 100</f>
        <v>100</v>
      </c>
      <c r="AQ11">
        <f>VLOOKUP(Format1!AQ10,Labels!$H$3:$I$92,2,FALSE) + 100</f>
        <v>100</v>
      </c>
      <c r="AR11">
        <f>VLOOKUP(Format1!AR10,Labels!$H$3:$I$92,2,FALSE) + 100</f>
        <v>100</v>
      </c>
      <c r="AS11">
        <f>VLOOKUP(Format1!AS10,Labels!$H$3:$I$92,2,FALSE) + 100</f>
        <v>100</v>
      </c>
      <c r="AT11">
        <f>VLOOKUP(Format1!AT10,Labels!$H$3:$I$92,2,FALSE) + 100</f>
        <v>100</v>
      </c>
      <c r="AU11">
        <f>VLOOKUP(Format1!AU10,Labels!$H$3:$I$92,2,FALSE) + 100</f>
        <v>100</v>
      </c>
      <c r="AV11">
        <f>VLOOKUP(Format1!AV10,Labels!$H$3:$I$92,2,FALSE) + 100</f>
        <v>100</v>
      </c>
      <c r="AW11">
        <f>VLOOKUP(Format1!AW10,Labels!$H$3:$I$92,2,FALSE) + 100</f>
        <v>100</v>
      </c>
      <c r="AX11">
        <f>VLOOKUP(Format1!AX10,Labels!$H$3:$I$92,2,FALSE) + 100</f>
        <v>100</v>
      </c>
      <c r="AY11">
        <f>VLOOKUP(Format1!AY10,Labels!$H$3:$I$92,2,FALSE) + 100</f>
        <v>100</v>
      </c>
      <c r="AZ11">
        <f>VLOOKUP(Format1!AZ10,Labels!$H$3:$I$92,2,FALSE) + 100</f>
        <v>100</v>
      </c>
      <c r="BA11">
        <f>VLOOKUP(Format1!BA10,Labels!$H$3:$I$92,2,FALSE) + 100</f>
        <v>100</v>
      </c>
      <c r="BB11">
        <f>VLOOKUP(Format1!BB10,Labels!$H$3:$I$92,2,FALSE) + 100</f>
        <v>100</v>
      </c>
      <c r="BC11">
        <f>VLOOKUP(Format1!BC10,Labels!$H$3:$I$92,2,FALSE) + 100</f>
        <v>100</v>
      </c>
      <c r="BD11">
        <f>VLOOKUP(Format1!BD10,Labels!$H$3:$I$92,2,FALSE) + 100</f>
        <v>100</v>
      </c>
      <c r="BE11">
        <f>VLOOKUP(Format1!BE10,Labels!$H$3:$I$92,2,FALSE) + 100</f>
        <v>115</v>
      </c>
    </row>
    <row r="12" spans="1:57" x14ac:dyDescent="0.35">
      <c r="A12" t="str">
        <v>Declarations</v>
      </c>
      <c r="B12">
        <v>10</v>
      </c>
      <c r="C12">
        <f>VLOOKUP(Format1!C11,Labels!$H$3:$I$92,2,FALSE) + 100</f>
        <v>100</v>
      </c>
      <c r="D12">
        <f>VLOOKUP(Format1!D11,Labels!$H$3:$I$92,2,FALSE) + 100</f>
        <v>117</v>
      </c>
      <c r="E12">
        <f>VLOOKUP(Format1!E11,Labels!$H$3:$I$92,2,FALSE) + 100</f>
        <v>100</v>
      </c>
      <c r="F12">
        <f>VLOOKUP(Format1!F11,Labels!$H$3:$I$92,2,FALSE) + 100</f>
        <v>100</v>
      </c>
      <c r="G12">
        <f>VLOOKUP(Format1!G11,Labels!$H$3:$I$92,2,FALSE) + 100</f>
        <v>100</v>
      </c>
      <c r="H12">
        <f>VLOOKUP(Format1!H11,Labels!$H$3:$I$92,2,FALSE) + 100</f>
        <v>100</v>
      </c>
      <c r="I12">
        <f>VLOOKUP(Format1!I11,Labels!$H$3:$I$92,2,FALSE) + 100</f>
        <v>100</v>
      </c>
      <c r="J12">
        <f>VLOOKUP(Format1!J11,Labels!$H$3:$I$92,2,FALSE) + 100</f>
        <v>100</v>
      </c>
      <c r="K12">
        <f>VLOOKUP(Format1!K11,Labels!$H$3:$I$92,2,FALSE) + 100</f>
        <v>100</v>
      </c>
      <c r="L12">
        <f>VLOOKUP(Format1!L11,Labels!$H$3:$I$92,2,FALSE) + 100</f>
        <v>100</v>
      </c>
      <c r="M12">
        <f>VLOOKUP(Format1!M11,Labels!$H$3:$I$92,2,FALSE) + 100</f>
        <v>116</v>
      </c>
      <c r="N12">
        <f>VLOOKUP(Format1!N11,Labels!$H$3:$I$92,2,FALSE) + 100</f>
        <v>100</v>
      </c>
      <c r="O12">
        <f>VLOOKUP(Format1!O11,Labels!$H$3:$I$92,2,FALSE) + 100</f>
        <v>100</v>
      </c>
      <c r="P12">
        <f>VLOOKUP(Format1!P11,Labels!$H$3:$I$92,2,FALSE) + 100</f>
        <v>100</v>
      </c>
      <c r="Q12">
        <f>VLOOKUP(Format1!Q11,Labels!$H$3:$I$92,2,FALSE) + 100</f>
        <v>100</v>
      </c>
      <c r="R12">
        <f>VLOOKUP(Format1!R11,Labels!$H$3:$I$92,2,FALSE) + 100</f>
        <v>100</v>
      </c>
      <c r="S12">
        <f>VLOOKUP(Format1!S11,Labels!$H$3:$I$92,2,FALSE) + 100</f>
        <v>100</v>
      </c>
      <c r="T12">
        <f>VLOOKUP(Format1!T11,Labels!$H$3:$I$92,2,FALSE) + 100</f>
        <v>100</v>
      </c>
      <c r="U12">
        <f>VLOOKUP(Format1!U11,Labels!$H$3:$I$92,2,FALSE) + 100</f>
        <v>117</v>
      </c>
      <c r="V12">
        <f>VLOOKUP(Format1!V11,Labels!$H$3:$I$92,2,FALSE) + 100</f>
        <v>117</v>
      </c>
      <c r="W12">
        <f>VLOOKUP(Format1!W11,Labels!$H$3:$I$92,2,FALSE) + 100</f>
        <v>117</v>
      </c>
      <c r="X12">
        <f>VLOOKUP(Format1!X11,Labels!$H$3:$I$92,2,FALSE) + 100</f>
        <v>117</v>
      </c>
      <c r="Y12">
        <f>VLOOKUP(Format1!Y11,Labels!$H$3:$I$92,2,FALSE) + 100</f>
        <v>100</v>
      </c>
      <c r="Z12">
        <f>VLOOKUP(Format1!Z11,Labels!$H$3:$I$92,2,FALSE) + 100</f>
        <v>100</v>
      </c>
      <c r="AA12">
        <f>VLOOKUP(Format1!AA11,Labels!$H$3:$I$92,2,FALSE) + 100</f>
        <v>100</v>
      </c>
      <c r="AB12">
        <f>VLOOKUP(Format1!AB11,Labels!$H$3:$I$92,2,FALSE) + 100</f>
        <v>100</v>
      </c>
      <c r="AC12">
        <f>VLOOKUP(Format1!AC11,Labels!$H$3:$I$92,2,FALSE) + 100</f>
        <v>100</v>
      </c>
      <c r="AD12">
        <f>VLOOKUP(Format1!AD11,Labels!$H$3:$I$92,2,FALSE) + 100</f>
        <v>100</v>
      </c>
      <c r="AE12">
        <f>VLOOKUP(Format1!AE11,Labels!$H$3:$I$92,2,FALSE) + 100</f>
        <v>100</v>
      </c>
      <c r="AF12">
        <f>VLOOKUP(Format1!AF11,Labels!$H$3:$I$92,2,FALSE) + 100</f>
        <v>100</v>
      </c>
      <c r="AG12">
        <f>VLOOKUP(Format1!AG11,Labels!$H$3:$I$92,2,FALSE) + 100</f>
        <v>100</v>
      </c>
      <c r="AH12">
        <f>VLOOKUP(Format1!AH11,Labels!$H$3:$I$92,2,FALSE) + 100</f>
        <v>100</v>
      </c>
      <c r="AI12">
        <f>VLOOKUP(Format1!AI11,Labels!$H$3:$I$92,2,FALSE) + 100</f>
        <v>100</v>
      </c>
      <c r="AJ12">
        <f>VLOOKUP(Format1!AJ11,Labels!$H$3:$I$92,2,FALSE) + 100</f>
        <v>100</v>
      </c>
      <c r="AK12">
        <f>VLOOKUP(Format1!AK11,Labels!$H$3:$I$92,2,FALSE) + 100</f>
        <v>100</v>
      </c>
      <c r="AL12">
        <f>VLOOKUP(Format1!AL11,Labels!$H$3:$I$92,2,FALSE) + 100</f>
        <v>100</v>
      </c>
      <c r="AM12">
        <f>VLOOKUP(Format1!AM11,Labels!$H$3:$I$92,2,FALSE) + 100</f>
        <v>100</v>
      </c>
      <c r="AN12">
        <f>VLOOKUP(Format1!AN11,Labels!$H$3:$I$92,2,FALSE) + 100</f>
        <v>100</v>
      </c>
      <c r="AO12">
        <f>VLOOKUP(Format1!AO11,Labels!$H$3:$I$92,2,FALSE) + 100</f>
        <v>100</v>
      </c>
      <c r="AP12">
        <f>VLOOKUP(Format1!AP11,Labels!$H$3:$I$92,2,FALSE) + 100</f>
        <v>100</v>
      </c>
      <c r="AQ12">
        <f>VLOOKUP(Format1!AQ11,Labels!$H$3:$I$92,2,FALSE) + 100</f>
        <v>100</v>
      </c>
      <c r="AR12">
        <f>VLOOKUP(Format1!AR11,Labels!$H$3:$I$92,2,FALSE) + 100</f>
        <v>100</v>
      </c>
      <c r="AS12">
        <f>VLOOKUP(Format1!AS11,Labels!$H$3:$I$92,2,FALSE) + 100</f>
        <v>100</v>
      </c>
      <c r="AT12">
        <f>VLOOKUP(Format1!AT11,Labels!$H$3:$I$92,2,FALSE) + 100</f>
        <v>100</v>
      </c>
      <c r="AU12">
        <f>VLOOKUP(Format1!AU11,Labels!$H$3:$I$92,2,FALSE) + 100</f>
        <v>100</v>
      </c>
      <c r="AV12">
        <f>VLOOKUP(Format1!AV11,Labels!$H$3:$I$92,2,FALSE) + 100</f>
        <v>100</v>
      </c>
      <c r="AW12">
        <f>VLOOKUP(Format1!AW11,Labels!$H$3:$I$92,2,FALSE) + 100</f>
        <v>100</v>
      </c>
      <c r="AX12">
        <f>VLOOKUP(Format1!AX11,Labels!$H$3:$I$92,2,FALSE) + 100</f>
        <v>100</v>
      </c>
      <c r="AY12">
        <f>VLOOKUP(Format1!AY11,Labels!$H$3:$I$92,2,FALSE) + 100</f>
        <v>100</v>
      </c>
      <c r="AZ12">
        <f>VLOOKUP(Format1!AZ11,Labels!$H$3:$I$92,2,FALSE) + 100</f>
        <v>100</v>
      </c>
      <c r="BA12">
        <f>VLOOKUP(Format1!BA11,Labels!$H$3:$I$92,2,FALSE) + 100</f>
        <v>100</v>
      </c>
      <c r="BB12">
        <f>VLOOKUP(Format1!BB11,Labels!$H$3:$I$92,2,FALSE) + 100</f>
        <v>100</v>
      </c>
      <c r="BC12">
        <f>VLOOKUP(Format1!BC11,Labels!$H$3:$I$92,2,FALSE) + 100</f>
        <v>100</v>
      </c>
      <c r="BD12">
        <f>VLOOKUP(Format1!BD11,Labels!$H$3:$I$92,2,FALSE) + 100</f>
        <v>100</v>
      </c>
      <c r="BE12">
        <f>VLOOKUP(Format1!BE11,Labels!$H$3:$I$92,2,FALSE) + 100</f>
        <v>100</v>
      </c>
    </row>
    <row r="13" spans="1:57" x14ac:dyDescent="0.35">
      <c r="A13" t="str">
        <v>DeclaraTipo</v>
      </c>
      <c r="B13">
        <v>11</v>
      </c>
      <c r="C13">
        <f>VLOOKUP(Format1!C12,Labels!$H$3:$I$92,2,FALSE) + 100</f>
        <v>100</v>
      </c>
      <c r="D13">
        <f>VLOOKUP(Format1!D12,Labels!$H$3:$I$92,2,FALSE) + 100</f>
        <v>100</v>
      </c>
      <c r="E13">
        <f>VLOOKUP(Format1!E12,Labels!$H$3:$I$92,2,FALSE) + 100</f>
        <v>100</v>
      </c>
      <c r="F13">
        <f>VLOOKUP(Format1!F12,Labels!$H$3:$I$92,2,FALSE) + 100</f>
        <v>100</v>
      </c>
      <c r="G13">
        <f>VLOOKUP(Format1!G12,Labels!$H$3:$I$92,2,FALSE) + 100</f>
        <v>100</v>
      </c>
      <c r="H13">
        <f>VLOOKUP(Format1!H12,Labels!$H$3:$I$92,2,FALSE) + 100</f>
        <v>100</v>
      </c>
      <c r="I13">
        <f>VLOOKUP(Format1!I12,Labels!$H$3:$I$92,2,FALSE) + 100</f>
        <v>100</v>
      </c>
      <c r="J13">
        <f>VLOOKUP(Format1!J12,Labels!$H$3:$I$92,2,FALSE) + 100</f>
        <v>100</v>
      </c>
      <c r="K13">
        <f>VLOOKUP(Format1!K12,Labels!$H$3:$I$92,2,FALSE) + 100</f>
        <v>100</v>
      </c>
      <c r="L13">
        <f>VLOOKUP(Format1!L12,Labels!$H$3:$I$92,2,FALSE) + 100</f>
        <v>100</v>
      </c>
      <c r="M13">
        <f>VLOOKUP(Format1!M12,Labels!$H$3:$I$92,2,FALSE) + 100</f>
        <v>118</v>
      </c>
      <c r="N13">
        <f>VLOOKUP(Format1!N12,Labels!$H$3:$I$92,2,FALSE) + 100</f>
        <v>100</v>
      </c>
      <c r="O13">
        <f>VLOOKUP(Format1!O12,Labels!$H$3:$I$92,2,FALSE) + 100</f>
        <v>100</v>
      </c>
      <c r="P13">
        <f>VLOOKUP(Format1!P12,Labels!$H$3:$I$92,2,FALSE) + 100</f>
        <v>100</v>
      </c>
      <c r="Q13">
        <f>VLOOKUP(Format1!Q12,Labels!$H$3:$I$92,2,FALSE) + 100</f>
        <v>100</v>
      </c>
      <c r="R13">
        <f>VLOOKUP(Format1!R12,Labels!$H$3:$I$92,2,FALSE) + 100</f>
        <v>100</v>
      </c>
      <c r="S13">
        <f>VLOOKUP(Format1!S12,Labels!$H$3:$I$92,2,FALSE) + 100</f>
        <v>100</v>
      </c>
      <c r="T13">
        <f>VLOOKUP(Format1!T12,Labels!$H$3:$I$92,2,FALSE) + 100</f>
        <v>100</v>
      </c>
      <c r="U13">
        <f>VLOOKUP(Format1!U12,Labels!$H$3:$I$92,2,FALSE) + 100</f>
        <v>100</v>
      </c>
      <c r="V13">
        <f>VLOOKUP(Format1!V12,Labels!$H$3:$I$92,2,FALSE) + 100</f>
        <v>100</v>
      </c>
      <c r="W13">
        <f>VLOOKUP(Format1!W12,Labels!$H$3:$I$92,2,FALSE) + 100</f>
        <v>100</v>
      </c>
      <c r="X13">
        <f>VLOOKUP(Format1!X12,Labels!$H$3:$I$92,2,FALSE) + 100</f>
        <v>100</v>
      </c>
      <c r="Y13">
        <f>VLOOKUP(Format1!Y12,Labels!$H$3:$I$92,2,FALSE) + 100</f>
        <v>100</v>
      </c>
      <c r="Z13">
        <f>VLOOKUP(Format1!Z12,Labels!$H$3:$I$92,2,FALSE) + 100</f>
        <v>100</v>
      </c>
      <c r="AA13">
        <f>VLOOKUP(Format1!AA12,Labels!$H$3:$I$92,2,FALSE) + 100</f>
        <v>100</v>
      </c>
      <c r="AB13">
        <f>VLOOKUP(Format1!AB12,Labels!$H$3:$I$92,2,FALSE) + 100</f>
        <v>100</v>
      </c>
      <c r="AC13">
        <f>VLOOKUP(Format1!AC12,Labels!$H$3:$I$92,2,FALSE) + 100</f>
        <v>100</v>
      </c>
      <c r="AD13">
        <f>VLOOKUP(Format1!AD12,Labels!$H$3:$I$92,2,FALSE) + 100</f>
        <v>100</v>
      </c>
      <c r="AE13">
        <f>VLOOKUP(Format1!AE12,Labels!$H$3:$I$92,2,FALSE) + 100</f>
        <v>100</v>
      </c>
      <c r="AF13">
        <f>VLOOKUP(Format1!AF12,Labels!$H$3:$I$92,2,FALSE) + 100</f>
        <v>100</v>
      </c>
      <c r="AG13">
        <f>VLOOKUP(Format1!AG12,Labels!$H$3:$I$92,2,FALSE) + 100</f>
        <v>100</v>
      </c>
      <c r="AH13">
        <f>VLOOKUP(Format1!AH12,Labels!$H$3:$I$92,2,FALSE) + 100</f>
        <v>100</v>
      </c>
      <c r="AI13">
        <f>VLOOKUP(Format1!AI12,Labels!$H$3:$I$92,2,FALSE) + 100</f>
        <v>100</v>
      </c>
      <c r="AJ13">
        <f>VLOOKUP(Format1!AJ12,Labels!$H$3:$I$92,2,FALSE) + 100</f>
        <v>100</v>
      </c>
      <c r="AK13">
        <f>VLOOKUP(Format1!AK12,Labels!$H$3:$I$92,2,FALSE) + 100</f>
        <v>100</v>
      </c>
      <c r="AL13">
        <f>VLOOKUP(Format1!AL12,Labels!$H$3:$I$92,2,FALSE) + 100</f>
        <v>100</v>
      </c>
      <c r="AM13">
        <f>VLOOKUP(Format1!AM12,Labels!$H$3:$I$92,2,FALSE) + 100</f>
        <v>100</v>
      </c>
      <c r="AN13">
        <f>VLOOKUP(Format1!AN12,Labels!$H$3:$I$92,2,FALSE) + 100</f>
        <v>100</v>
      </c>
      <c r="AO13">
        <f>VLOOKUP(Format1!AO12,Labels!$H$3:$I$92,2,FALSE) + 100</f>
        <v>100</v>
      </c>
      <c r="AP13">
        <f>VLOOKUP(Format1!AP12,Labels!$H$3:$I$92,2,FALSE) + 100</f>
        <v>100</v>
      </c>
      <c r="AQ13">
        <f>VLOOKUP(Format1!AQ12,Labels!$H$3:$I$92,2,FALSE) + 100</f>
        <v>100</v>
      </c>
      <c r="AR13">
        <f>VLOOKUP(Format1!AR12,Labels!$H$3:$I$92,2,FALSE) + 100</f>
        <v>100</v>
      </c>
      <c r="AS13">
        <f>VLOOKUP(Format1!AS12,Labels!$H$3:$I$92,2,FALSE) + 100</f>
        <v>100</v>
      </c>
      <c r="AT13">
        <f>VLOOKUP(Format1!AT12,Labels!$H$3:$I$92,2,FALSE) + 100</f>
        <v>100</v>
      </c>
      <c r="AU13">
        <f>VLOOKUP(Format1!AU12,Labels!$H$3:$I$92,2,FALSE) + 100</f>
        <v>100</v>
      </c>
      <c r="AV13">
        <f>VLOOKUP(Format1!AV12,Labels!$H$3:$I$92,2,FALSE) + 100</f>
        <v>100</v>
      </c>
      <c r="AW13">
        <f>VLOOKUP(Format1!AW12,Labels!$H$3:$I$92,2,FALSE) + 100</f>
        <v>100</v>
      </c>
      <c r="AX13">
        <f>VLOOKUP(Format1!AX12,Labels!$H$3:$I$92,2,FALSE) + 100</f>
        <v>100</v>
      </c>
      <c r="AY13">
        <f>VLOOKUP(Format1!AY12,Labels!$H$3:$I$92,2,FALSE) + 100</f>
        <v>100</v>
      </c>
      <c r="AZ13">
        <f>VLOOKUP(Format1!AZ12,Labels!$H$3:$I$92,2,FALSE) + 100</f>
        <v>100</v>
      </c>
      <c r="BA13">
        <f>VLOOKUP(Format1!BA12,Labels!$H$3:$I$92,2,FALSE) + 100</f>
        <v>100</v>
      </c>
      <c r="BB13">
        <f>VLOOKUP(Format1!BB12,Labels!$H$3:$I$92,2,FALSE) + 100</f>
        <v>100</v>
      </c>
      <c r="BC13">
        <f>VLOOKUP(Format1!BC12,Labels!$H$3:$I$92,2,FALSE) + 100</f>
        <v>100</v>
      </c>
      <c r="BD13">
        <f>VLOOKUP(Format1!BD12,Labels!$H$3:$I$92,2,FALSE) + 100</f>
        <v>100</v>
      </c>
      <c r="BE13">
        <f>VLOOKUP(Format1!BE12,Labels!$H$3:$I$92,2,FALSE) + 100</f>
        <v>100</v>
      </c>
    </row>
    <row r="14" spans="1:57" x14ac:dyDescent="0.35">
      <c r="A14" t="str">
        <v>DeclaraVariaveis</v>
      </c>
      <c r="B14">
        <v>12</v>
      </c>
      <c r="C14">
        <f>VLOOKUP(Format1!C13,Labels!$H$3:$I$92,2,FALSE) + 100</f>
        <v>100</v>
      </c>
      <c r="D14">
        <f>VLOOKUP(Format1!D13,Labels!$H$3:$I$92,2,FALSE) + 100</f>
        <v>119</v>
      </c>
      <c r="E14">
        <f>VLOOKUP(Format1!E13,Labels!$H$3:$I$92,2,FALSE) + 100</f>
        <v>100</v>
      </c>
      <c r="F14">
        <f>VLOOKUP(Format1!F13,Labels!$H$3:$I$92,2,FALSE) + 100</f>
        <v>100</v>
      </c>
      <c r="G14">
        <f>VLOOKUP(Format1!G13,Labels!$H$3:$I$92,2,FALSE) + 100</f>
        <v>100</v>
      </c>
      <c r="H14">
        <f>VLOOKUP(Format1!H13,Labels!$H$3:$I$92,2,FALSE) + 100</f>
        <v>100</v>
      </c>
      <c r="I14">
        <f>VLOOKUP(Format1!I13,Labels!$H$3:$I$92,2,FALSE) + 100</f>
        <v>100</v>
      </c>
      <c r="J14">
        <f>VLOOKUP(Format1!J13,Labels!$H$3:$I$92,2,FALSE) + 100</f>
        <v>100</v>
      </c>
      <c r="K14">
        <f>VLOOKUP(Format1!K13,Labels!$H$3:$I$92,2,FALSE) + 100</f>
        <v>100</v>
      </c>
      <c r="L14">
        <f>VLOOKUP(Format1!L13,Labels!$H$3:$I$92,2,FALSE) + 100</f>
        <v>100</v>
      </c>
      <c r="M14">
        <f>VLOOKUP(Format1!M13,Labels!$H$3:$I$92,2,FALSE) + 100</f>
        <v>100</v>
      </c>
      <c r="N14">
        <f>VLOOKUP(Format1!N13,Labels!$H$3:$I$92,2,FALSE) + 100</f>
        <v>100</v>
      </c>
      <c r="O14">
        <f>VLOOKUP(Format1!O13,Labels!$H$3:$I$92,2,FALSE) + 100</f>
        <v>100</v>
      </c>
      <c r="P14">
        <f>VLOOKUP(Format1!P13,Labels!$H$3:$I$92,2,FALSE) + 100</f>
        <v>100</v>
      </c>
      <c r="Q14">
        <f>VLOOKUP(Format1!Q13,Labels!$H$3:$I$92,2,FALSE) + 100</f>
        <v>100</v>
      </c>
      <c r="R14">
        <f>VLOOKUP(Format1!R13,Labels!$H$3:$I$92,2,FALSE) + 100</f>
        <v>100</v>
      </c>
      <c r="S14">
        <f>VLOOKUP(Format1!S13,Labels!$H$3:$I$92,2,FALSE) + 100</f>
        <v>100</v>
      </c>
      <c r="T14">
        <f>VLOOKUP(Format1!T13,Labels!$H$3:$I$92,2,FALSE) + 100</f>
        <v>100</v>
      </c>
      <c r="U14">
        <f>VLOOKUP(Format1!U13,Labels!$H$3:$I$92,2,FALSE) + 100</f>
        <v>119</v>
      </c>
      <c r="V14">
        <f>VLOOKUP(Format1!V13,Labels!$H$3:$I$92,2,FALSE) + 100</f>
        <v>119</v>
      </c>
      <c r="W14">
        <f>VLOOKUP(Format1!W13,Labels!$H$3:$I$92,2,FALSE) + 100</f>
        <v>119</v>
      </c>
      <c r="X14">
        <f>VLOOKUP(Format1!X13,Labels!$H$3:$I$92,2,FALSE) + 100</f>
        <v>119</v>
      </c>
      <c r="Y14">
        <f>VLOOKUP(Format1!Y13,Labels!$H$3:$I$92,2,FALSE) + 100</f>
        <v>100</v>
      </c>
      <c r="Z14">
        <f>VLOOKUP(Format1!Z13,Labels!$H$3:$I$92,2,FALSE) + 100</f>
        <v>100</v>
      </c>
      <c r="AA14">
        <f>VLOOKUP(Format1!AA13,Labels!$H$3:$I$92,2,FALSE) + 100</f>
        <v>100</v>
      </c>
      <c r="AB14">
        <f>VLOOKUP(Format1!AB13,Labels!$H$3:$I$92,2,FALSE) + 100</f>
        <v>100</v>
      </c>
      <c r="AC14">
        <f>VLOOKUP(Format1!AC13,Labels!$H$3:$I$92,2,FALSE) + 100</f>
        <v>100</v>
      </c>
      <c r="AD14">
        <f>VLOOKUP(Format1!AD13,Labels!$H$3:$I$92,2,FALSE) + 100</f>
        <v>100</v>
      </c>
      <c r="AE14">
        <f>VLOOKUP(Format1!AE13,Labels!$H$3:$I$92,2,FALSE) + 100</f>
        <v>100</v>
      </c>
      <c r="AF14">
        <f>VLOOKUP(Format1!AF13,Labels!$H$3:$I$92,2,FALSE) + 100</f>
        <v>100</v>
      </c>
      <c r="AG14">
        <f>VLOOKUP(Format1!AG13,Labels!$H$3:$I$92,2,FALSE) + 100</f>
        <v>100</v>
      </c>
      <c r="AH14">
        <f>VLOOKUP(Format1!AH13,Labels!$H$3:$I$92,2,FALSE) + 100</f>
        <v>100</v>
      </c>
      <c r="AI14">
        <f>VLOOKUP(Format1!AI13,Labels!$H$3:$I$92,2,FALSE) + 100</f>
        <v>100</v>
      </c>
      <c r="AJ14">
        <f>VLOOKUP(Format1!AJ13,Labels!$H$3:$I$92,2,FALSE) + 100</f>
        <v>100</v>
      </c>
      <c r="AK14">
        <f>VLOOKUP(Format1!AK13,Labels!$H$3:$I$92,2,FALSE) + 100</f>
        <v>100</v>
      </c>
      <c r="AL14">
        <f>VLOOKUP(Format1!AL13,Labels!$H$3:$I$92,2,FALSE) + 100</f>
        <v>100</v>
      </c>
      <c r="AM14">
        <f>VLOOKUP(Format1!AM13,Labels!$H$3:$I$92,2,FALSE) + 100</f>
        <v>100</v>
      </c>
      <c r="AN14">
        <f>VLOOKUP(Format1!AN13,Labels!$H$3:$I$92,2,FALSE) + 100</f>
        <v>100</v>
      </c>
      <c r="AO14">
        <f>VLOOKUP(Format1!AO13,Labels!$H$3:$I$92,2,FALSE) + 100</f>
        <v>100</v>
      </c>
      <c r="AP14">
        <f>VLOOKUP(Format1!AP13,Labels!$H$3:$I$92,2,FALSE) + 100</f>
        <v>100</v>
      </c>
      <c r="AQ14">
        <f>VLOOKUP(Format1!AQ13,Labels!$H$3:$I$92,2,FALSE) + 100</f>
        <v>100</v>
      </c>
      <c r="AR14">
        <f>VLOOKUP(Format1!AR13,Labels!$H$3:$I$92,2,FALSE) + 100</f>
        <v>100</v>
      </c>
      <c r="AS14">
        <f>VLOOKUP(Format1!AS13,Labels!$H$3:$I$92,2,FALSE) + 100</f>
        <v>100</v>
      </c>
      <c r="AT14">
        <f>VLOOKUP(Format1!AT13,Labels!$H$3:$I$92,2,FALSE) + 100</f>
        <v>100</v>
      </c>
      <c r="AU14">
        <f>VLOOKUP(Format1!AU13,Labels!$H$3:$I$92,2,FALSE) + 100</f>
        <v>100</v>
      </c>
      <c r="AV14">
        <f>VLOOKUP(Format1!AV13,Labels!$H$3:$I$92,2,FALSE) + 100</f>
        <v>100</v>
      </c>
      <c r="AW14">
        <f>VLOOKUP(Format1!AW13,Labels!$H$3:$I$92,2,FALSE) + 100</f>
        <v>100</v>
      </c>
      <c r="AX14">
        <f>VLOOKUP(Format1!AX13,Labels!$H$3:$I$92,2,FALSE) + 100</f>
        <v>100</v>
      </c>
      <c r="AY14">
        <f>VLOOKUP(Format1!AY13,Labels!$H$3:$I$92,2,FALSE) + 100</f>
        <v>100</v>
      </c>
      <c r="AZ14">
        <f>VLOOKUP(Format1!AZ13,Labels!$H$3:$I$92,2,FALSE) + 100</f>
        <v>100</v>
      </c>
      <c r="BA14">
        <f>VLOOKUP(Format1!BA13,Labels!$H$3:$I$92,2,FALSE) + 100</f>
        <v>100</v>
      </c>
      <c r="BB14">
        <f>VLOOKUP(Format1!BB13,Labels!$H$3:$I$92,2,FALSE) + 100</f>
        <v>100</v>
      </c>
      <c r="BC14">
        <f>VLOOKUP(Format1!BC13,Labels!$H$3:$I$92,2,FALSE) + 100</f>
        <v>100</v>
      </c>
      <c r="BD14">
        <f>VLOOKUP(Format1!BD13,Labels!$H$3:$I$92,2,FALSE) + 100</f>
        <v>100</v>
      </c>
      <c r="BE14">
        <f>VLOOKUP(Format1!BE13,Labels!$H$3:$I$92,2,FALSE) + 100</f>
        <v>100</v>
      </c>
    </row>
    <row r="15" spans="1:57" x14ac:dyDescent="0.35">
      <c r="A15" t="str">
        <v>DeclaraIdentificador</v>
      </c>
      <c r="B15">
        <v>13</v>
      </c>
      <c r="C15">
        <f>VLOOKUP(Format1!C14,Labels!$H$3:$I$92,2,FALSE) + 100</f>
        <v>100</v>
      </c>
      <c r="D15">
        <f>VLOOKUP(Format1!D14,Labels!$H$3:$I$92,2,FALSE) + 100</f>
        <v>120</v>
      </c>
      <c r="E15">
        <f>VLOOKUP(Format1!E14,Labels!$H$3:$I$92,2,FALSE) + 100</f>
        <v>100</v>
      </c>
      <c r="F15">
        <f>VLOOKUP(Format1!F14,Labels!$H$3:$I$92,2,FALSE) + 100</f>
        <v>100</v>
      </c>
      <c r="G15">
        <f>VLOOKUP(Format1!G14,Labels!$H$3:$I$92,2,FALSE) + 100</f>
        <v>100</v>
      </c>
      <c r="H15">
        <f>VLOOKUP(Format1!H14,Labels!$H$3:$I$92,2,FALSE) + 100</f>
        <v>100</v>
      </c>
      <c r="I15">
        <f>VLOOKUP(Format1!I14,Labels!$H$3:$I$92,2,FALSE) + 100</f>
        <v>100</v>
      </c>
      <c r="J15">
        <f>VLOOKUP(Format1!J14,Labels!$H$3:$I$92,2,FALSE) + 100</f>
        <v>100</v>
      </c>
      <c r="K15">
        <f>VLOOKUP(Format1!K14,Labels!$H$3:$I$92,2,FALSE) + 100</f>
        <v>100</v>
      </c>
      <c r="L15">
        <f>VLOOKUP(Format1!L14,Labels!$H$3:$I$92,2,FALSE) + 100</f>
        <v>100</v>
      </c>
      <c r="M15">
        <f>VLOOKUP(Format1!M14,Labels!$H$3:$I$92,2,FALSE) + 100</f>
        <v>100</v>
      </c>
      <c r="N15">
        <f>VLOOKUP(Format1!N14,Labels!$H$3:$I$92,2,FALSE) + 100</f>
        <v>100</v>
      </c>
      <c r="O15">
        <f>VLOOKUP(Format1!O14,Labels!$H$3:$I$92,2,FALSE) + 100</f>
        <v>100</v>
      </c>
      <c r="P15">
        <f>VLOOKUP(Format1!P14,Labels!$H$3:$I$92,2,FALSE) + 100</f>
        <v>100</v>
      </c>
      <c r="Q15">
        <f>VLOOKUP(Format1!Q14,Labels!$H$3:$I$92,2,FALSE) + 100</f>
        <v>100</v>
      </c>
      <c r="R15">
        <f>VLOOKUP(Format1!R14,Labels!$H$3:$I$92,2,FALSE) + 100</f>
        <v>100</v>
      </c>
      <c r="S15">
        <f>VLOOKUP(Format1!S14,Labels!$H$3:$I$92,2,FALSE) + 100</f>
        <v>100</v>
      </c>
      <c r="T15">
        <f>VLOOKUP(Format1!T14,Labels!$H$3:$I$92,2,FALSE) + 100</f>
        <v>100</v>
      </c>
      <c r="U15">
        <f>VLOOKUP(Format1!U14,Labels!$H$3:$I$92,2,FALSE) + 100</f>
        <v>100</v>
      </c>
      <c r="V15">
        <f>VLOOKUP(Format1!V14,Labels!$H$3:$I$92,2,FALSE) + 100</f>
        <v>100</v>
      </c>
      <c r="W15">
        <f>VLOOKUP(Format1!W14,Labels!$H$3:$I$92,2,FALSE) + 100</f>
        <v>100</v>
      </c>
      <c r="X15">
        <f>VLOOKUP(Format1!X14,Labels!$H$3:$I$92,2,FALSE) + 100</f>
        <v>100</v>
      </c>
      <c r="Y15">
        <f>VLOOKUP(Format1!Y14,Labels!$H$3:$I$92,2,FALSE) + 100</f>
        <v>100</v>
      </c>
      <c r="Z15">
        <f>VLOOKUP(Format1!Z14,Labels!$H$3:$I$92,2,FALSE) + 100</f>
        <v>100</v>
      </c>
      <c r="AA15">
        <f>VLOOKUP(Format1!AA14,Labels!$H$3:$I$92,2,FALSE) + 100</f>
        <v>100</v>
      </c>
      <c r="AB15">
        <f>VLOOKUP(Format1!AB14,Labels!$H$3:$I$92,2,FALSE) + 100</f>
        <v>100</v>
      </c>
      <c r="AC15">
        <f>VLOOKUP(Format1!AC14,Labels!$H$3:$I$92,2,FALSE) + 100</f>
        <v>100</v>
      </c>
      <c r="AD15">
        <f>VLOOKUP(Format1!AD14,Labels!$H$3:$I$92,2,FALSE) + 100</f>
        <v>100</v>
      </c>
      <c r="AE15">
        <f>VLOOKUP(Format1!AE14,Labels!$H$3:$I$92,2,FALSE) + 100</f>
        <v>100</v>
      </c>
      <c r="AF15">
        <f>VLOOKUP(Format1!AF14,Labels!$H$3:$I$92,2,FALSE) + 100</f>
        <v>100</v>
      </c>
      <c r="AG15">
        <f>VLOOKUP(Format1!AG14,Labels!$H$3:$I$92,2,FALSE) + 100</f>
        <v>100</v>
      </c>
      <c r="AH15">
        <f>VLOOKUP(Format1!AH14,Labels!$H$3:$I$92,2,FALSE) + 100</f>
        <v>100</v>
      </c>
      <c r="AI15">
        <f>VLOOKUP(Format1!AI14,Labels!$H$3:$I$92,2,FALSE) + 100</f>
        <v>100</v>
      </c>
      <c r="AJ15">
        <f>VLOOKUP(Format1!AJ14,Labels!$H$3:$I$92,2,FALSE) + 100</f>
        <v>100</v>
      </c>
      <c r="AK15">
        <f>VLOOKUP(Format1!AK14,Labels!$H$3:$I$92,2,FALSE) + 100</f>
        <v>100</v>
      </c>
      <c r="AL15">
        <f>VLOOKUP(Format1!AL14,Labels!$H$3:$I$92,2,FALSE) + 100</f>
        <v>100</v>
      </c>
      <c r="AM15">
        <f>VLOOKUP(Format1!AM14,Labels!$H$3:$I$92,2,FALSE) + 100</f>
        <v>100</v>
      </c>
      <c r="AN15">
        <f>VLOOKUP(Format1!AN14,Labels!$H$3:$I$92,2,FALSE) + 100</f>
        <v>100</v>
      </c>
      <c r="AO15">
        <f>VLOOKUP(Format1!AO14,Labels!$H$3:$I$92,2,FALSE) + 100</f>
        <v>100</v>
      </c>
      <c r="AP15">
        <f>VLOOKUP(Format1!AP14,Labels!$H$3:$I$92,2,FALSE) + 100</f>
        <v>100</v>
      </c>
      <c r="AQ15">
        <f>VLOOKUP(Format1!AQ14,Labels!$H$3:$I$92,2,FALSE) + 100</f>
        <v>100</v>
      </c>
      <c r="AR15">
        <f>VLOOKUP(Format1!AR14,Labels!$H$3:$I$92,2,FALSE) + 100</f>
        <v>100</v>
      </c>
      <c r="AS15">
        <f>VLOOKUP(Format1!AS14,Labels!$H$3:$I$92,2,FALSE) + 100</f>
        <v>100</v>
      </c>
      <c r="AT15">
        <f>VLOOKUP(Format1!AT14,Labels!$H$3:$I$92,2,FALSE) + 100</f>
        <v>100</v>
      </c>
      <c r="AU15">
        <f>VLOOKUP(Format1!AU14,Labels!$H$3:$I$92,2,FALSE) + 100</f>
        <v>100</v>
      </c>
      <c r="AV15">
        <f>VLOOKUP(Format1!AV14,Labels!$H$3:$I$92,2,FALSE) + 100</f>
        <v>100</v>
      </c>
      <c r="AW15">
        <f>VLOOKUP(Format1!AW14,Labels!$H$3:$I$92,2,FALSE) + 100</f>
        <v>100</v>
      </c>
      <c r="AX15">
        <f>VLOOKUP(Format1!AX14,Labels!$H$3:$I$92,2,FALSE) + 100</f>
        <v>100</v>
      </c>
      <c r="AY15">
        <f>VLOOKUP(Format1!AY14,Labels!$H$3:$I$92,2,FALSE) + 100</f>
        <v>100</v>
      </c>
      <c r="AZ15">
        <f>VLOOKUP(Format1!AZ14,Labels!$H$3:$I$92,2,FALSE) + 100</f>
        <v>100</v>
      </c>
      <c r="BA15">
        <f>VLOOKUP(Format1!BA14,Labels!$H$3:$I$92,2,FALSE) + 100</f>
        <v>100</v>
      </c>
      <c r="BB15">
        <f>VLOOKUP(Format1!BB14,Labels!$H$3:$I$92,2,FALSE) + 100</f>
        <v>100</v>
      </c>
      <c r="BC15">
        <f>VLOOKUP(Format1!BC14,Labels!$H$3:$I$92,2,FALSE) + 100</f>
        <v>100</v>
      </c>
      <c r="BD15">
        <f>VLOOKUP(Format1!BD14,Labels!$H$3:$I$92,2,FALSE) + 100</f>
        <v>100</v>
      </c>
      <c r="BE15">
        <f>VLOOKUP(Format1!BE14,Labels!$H$3:$I$92,2,FALSE) + 100</f>
        <v>100</v>
      </c>
    </row>
    <row r="16" spans="1:57" x14ac:dyDescent="0.35">
      <c r="A16" t="str">
        <v>DeclaraIdentificadorBonus</v>
      </c>
      <c r="B16">
        <v>14</v>
      </c>
      <c r="C16">
        <f>VLOOKUP(Format1!C15,Labels!$H$3:$I$92,2,FALSE) + 100</f>
        <v>100</v>
      </c>
      <c r="D16">
        <f>VLOOKUP(Format1!D15,Labels!$H$3:$I$92,2,FALSE) + 100</f>
        <v>100</v>
      </c>
      <c r="E16">
        <f>VLOOKUP(Format1!E15,Labels!$H$3:$I$92,2,FALSE) + 100</f>
        <v>122</v>
      </c>
      <c r="F16">
        <f>VLOOKUP(Format1!F15,Labels!$H$3:$I$92,2,FALSE) + 100</f>
        <v>100</v>
      </c>
      <c r="G16">
        <f>VLOOKUP(Format1!G15,Labels!$H$3:$I$92,2,FALSE) + 100</f>
        <v>100</v>
      </c>
      <c r="H16">
        <f>VLOOKUP(Format1!H15,Labels!$H$3:$I$92,2,FALSE) + 100</f>
        <v>100</v>
      </c>
      <c r="I16">
        <f>VLOOKUP(Format1!I15,Labels!$H$3:$I$92,2,FALSE) + 100</f>
        <v>100</v>
      </c>
      <c r="J16">
        <f>VLOOKUP(Format1!J15,Labels!$H$3:$I$92,2,FALSE) + 100</f>
        <v>100</v>
      </c>
      <c r="K16">
        <f>VLOOKUP(Format1!K15,Labels!$H$3:$I$92,2,FALSE) + 100</f>
        <v>122</v>
      </c>
      <c r="L16">
        <f>VLOOKUP(Format1!L15,Labels!$H$3:$I$92,2,FALSE) + 100</f>
        <v>100</v>
      </c>
      <c r="M16">
        <f>VLOOKUP(Format1!M15,Labels!$H$3:$I$92,2,FALSE) + 100</f>
        <v>100</v>
      </c>
      <c r="N16">
        <f>VLOOKUP(Format1!N15,Labels!$H$3:$I$92,2,FALSE) + 100</f>
        <v>100</v>
      </c>
      <c r="O16">
        <f>VLOOKUP(Format1!O15,Labels!$H$3:$I$92,2,FALSE) + 100</f>
        <v>100</v>
      </c>
      <c r="P16">
        <f>VLOOKUP(Format1!P15,Labels!$H$3:$I$92,2,FALSE) + 100</f>
        <v>100</v>
      </c>
      <c r="Q16">
        <f>VLOOKUP(Format1!Q15,Labels!$H$3:$I$92,2,FALSE) + 100</f>
        <v>121</v>
      </c>
      <c r="R16">
        <f>VLOOKUP(Format1!R15,Labels!$H$3:$I$92,2,FALSE) + 100</f>
        <v>100</v>
      </c>
      <c r="S16">
        <f>VLOOKUP(Format1!S15,Labels!$H$3:$I$92,2,FALSE) + 100</f>
        <v>100</v>
      </c>
      <c r="T16">
        <f>VLOOKUP(Format1!T15,Labels!$H$3:$I$92,2,FALSE) + 100</f>
        <v>100</v>
      </c>
      <c r="U16">
        <f>VLOOKUP(Format1!U15,Labels!$H$3:$I$92,2,FALSE) + 100</f>
        <v>100</v>
      </c>
      <c r="V16">
        <f>VLOOKUP(Format1!V15,Labels!$H$3:$I$92,2,FALSE) + 100</f>
        <v>100</v>
      </c>
      <c r="W16">
        <f>VLOOKUP(Format1!W15,Labels!$H$3:$I$92,2,FALSE) + 100</f>
        <v>100</v>
      </c>
      <c r="X16">
        <f>VLOOKUP(Format1!X15,Labels!$H$3:$I$92,2,FALSE) + 100</f>
        <v>100</v>
      </c>
      <c r="Y16">
        <f>VLOOKUP(Format1!Y15,Labels!$H$3:$I$92,2,FALSE) + 100</f>
        <v>100</v>
      </c>
      <c r="Z16">
        <f>VLOOKUP(Format1!Z15,Labels!$H$3:$I$92,2,FALSE) + 100</f>
        <v>100</v>
      </c>
      <c r="AA16">
        <f>VLOOKUP(Format1!AA15,Labels!$H$3:$I$92,2,FALSE) + 100</f>
        <v>100</v>
      </c>
      <c r="AB16">
        <f>VLOOKUP(Format1!AB15,Labels!$H$3:$I$92,2,FALSE) + 100</f>
        <v>100</v>
      </c>
      <c r="AC16">
        <f>VLOOKUP(Format1!AC15,Labels!$H$3:$I$92,2,FALSE) + 100</f>
        <v>100</v>
      </c>
      <c r="AD16">
        <f>VLOOKUP(Format1!AD15,Labels!$H$3:$I$92,2,FALSE) + 100</f>
        <v>100</v>
      </c>
      <c r="AE16">
        <f>VLOOKUP(Format1!AE15,Labels!$H$3:$I$92,2,FALSE) + 100</f>
        <v>100</v>
      </c>
      <c r="AF16">
        <f>VLOOKUP(Format1!AF15,Labels!$H$3:$I$92,2,FALSE) + 100</f>
        <v>100</v>
      </c>
      <c r="AG16">
        <f>VLOOKUP(Format1!AG15,Labels!$H$3:$I$92,2,FALSE) + 100</f>
        <v>100</v>
      </c>
      <c r="AH16">
        <f>VLOOKUP(Format1!AH15,Labels!$H$3:$I$92,2,FALSE) + 100</f>
        <v>100</v>
      </c>
      <c r="AI16">
        <f>VLOOKUP(Format1!AI15,Labels!$H$3:$I$92,2,FALSE) + 100</f>
        <v>100</v>
      </c>
      <c r="AJ16">
        <f>VLOOKUP(Format1!AJ15,Labels!$H$3:$I$92,2,FALSE) + 100</f>
        <v>100</v>
      </c>
      <c r="AK16">
        <f>VLOOKUP(Format1!AK15,Labels!$H$3:$I$92,2,FALSE) + 100</f>
        <v>100</v>
      </c>
      <c r="AL16">
        <f>VLOOKUP(Format1!AL15,Labels!$H$3:$I$92,2,FALSE) + 100</f>
        <v>100</v>
      </c>
      <c r="AM16">
        <f>VLOOKUP(Format1!AM15,Labels!$H$3:$I$92,2,FALSE) + 100</f>
        <v>100</v>
      </c>
      <c r="AN16">
        <f>VLOOKUP(Format1!AN15,Labels!$H$3:$I$92,2,FALSE) + 100</f>
        <v>100</v>
      </c>
      <c r="AO16">
        <f>VLOOKUP(Format1!AO15,Labels!$H$3:$I$92,2,FALSE) + 100</f>
        <v>100</v>
      </c>
      <c r="AP16">
        <f>VLOOKUP(Format1!AP15,Labels!$H$3:$I$92,2,FALSE) + 100</f>
        <v>100</v>
      </c>
      <c r="AQ16">
        <f>VLOOKUP(Format1!AQ15,Labels!$H$3:$I$92,2,FALSE) + 100</f>
        <v>100</v>
      </c>
      <c r="AR16">
        <f>VLOOKUP(Format1!AR15,Labels!$H$3:$I$92,2,FALSE) + 100</f>
        <v>100</v>
      </c>
      <c r="AS16">
        <f>VLOOKUP(Format1!AS15,Labels!$H$3:$I$92,2,FALSE) + 100</f>
        <v>100</v>
      </c>
      <c r="AT16">
        <f>VLOOKUP(Format1!AT15,Labels!$H$3:$I$92,2,FALSE) + 100</f>
        <v>100</v>
      </c>
      <c r="AU16">
        <f>VLOOKUP(Format1!AU15,Labels!$H$3:$I$92,2,FALSE) + 100</f>
        <v>100</v>
      </c>
      <c r="AV16">
        <f>VLOOKUP(Format1!AV15,Labels!$H$3:$I$92,2,FALSE) + 100</f>
        <v>100</v>
      </c>
      <c r="AW16">
        <f>VLOOKUP(Format1!AW15,Labels!$H$3:$I$92,2,FALSE) + 100</f>
        <v>100</v>
      </c>
      <c r="AX16">
        <f>VLOOKUP(Format1!AX15,Labels!$H$3:$I$92,2,FALSE) + 100</f>
        <v>100</v>
      </c>
      <c r="AY16">
        <f>VLOOKUP(Format1!AY15,Labels!$H$3:$I$92,2,FALSE) + 100</f>
        <v>100</v>
      </c>
      <c r="AZ16">
        <f>VLOOKUP(Format1!AZ15,Labels!$H$3:$I$92,2,FALSE) + 100</f>
        <v>100</v>
      </c>
      <c r="BA16">
        <f>VLOOKUP(Format1!BA15,Labels!$H$3:$I$92,2,FALSE) + 100</f>
        <v>100</v>
      </c>
      <c r="BB16">
        <f>VLOOKUP(Format1!BB15,Labels!$H$3:$I$92,2,FALSE) + 100</f>
        <v>100</v>
      </c>
      <c r="BC16">
        <f>VLOOKUP(Format1!BC15,Labels!$H$3:$I$92,2,FALSE) + 100</f>
        <v>100</v>
      </c>
      <c r="BD16">
        <f>VLOOKUP(Format1!BD15,Labels!$H$3:$I$92,2,FALSE) + 100</f>
        <v>100</v>
      </c>
      <c r="BE16">
        <f>VLOOKUP(Format1!BE15,Labels!$H$3:$I$92,2,FALSE) + 100</f>
        <v>100</v>
      </c>
    </row>
    <row r="17" spans="1:57" x14ac:dyDescent="0.35">
      <c r="A17" t="str">
        <v>VetorMatriz</v>
      </c>
      <c r="B17">
        <v>15</v>
      </c>
      <c r="C17">
        <f>VLOOKUP(Format1!C16,Labels!$H$3:$I$92,2,FALSE) + 100</f>
        <v>100</v>
      </c>
      <c r="D17">
        <f>VLOOKUP(Format1!D16,Labels!$H$3:$I$92,2,FALSE) + 100</f>
        <v>100</v>
      </c>
      <c r="E17">
        <f>VLOOKUP(Format1!E16,Labels!$H$3:$I$92,2,FALSE) + 100</f>
        <v>100</v>
      </c>
      <c r="F17">
        <f>VLOOKUP(Format1!F16,Labels!$H$3:$I$92,2,FALSE) + 100</f>
        <v>100</v>
      </c>
      <c r="G17">
        <f>VLOOKUP(Format1!G16,Labels!$H$3:$I$92,2,FALSE) + 100</f>
        <v>100</v>
      </c>
      <c r="H17">
        <f>VLOOKUP(Format1!H16,Labels!$H$3:$I$92,2,FALSE) + 100</f>
        <v>100</v>
      </c>
      <c r="I17">
        <f>VLOOKUP(Format1!I16,Labels!$H$3:$I$92,2,FALSE) + 100</f>
        <v>100</v>
      </c>
      <c r="J17">
        <f>VLOOKUP(Format1!J16,Labels!$H$3:$I$92,2,FALSE) + 100</f>
        <v>100</v>
      </c>
      <c r="K17">
        <f>VLOOKUP(Format1!K16,Labels!$H$3:$I$92,2,FALSE) + 100</f>
        <v>100</v>
      </c>
      <c r="L17">
        <f>VLOOKUP(Format1!L16,Labels!$H$3:$I$92,2,FALSE) + 100</f>
        <v>100</v>
      </c>
      <c r="M17">
        <f>VLOOKUP(Format1!M16,Labels!$H$3:$I$92,2,FALSE) + 100</f>
        <v>100</v>
      </c>
      <c r="N17">
        <f>VLOOKUP(Format1!N16,Labels!$H$3:$I$92,2,FALSE) + 100</f>
        <v>100</v>
      </c>
      <c r="O17">
        <f>VLOOKUP(Format1!O16,Labels!$H$3:$I$92,2,FALSE) + 100</f>
        <v>100</v>
      </c>
      <c r="P17">
        <f>VLOOKUP(Format1!P16,Labels!$H$3:$I$92,2,FALSE) + 100</f>
        <v>100</v>
      </c>
      <c r="Q17">
        <f>VLOOKUP(Format1!Q16,Labels!$H$3:$I$92,2,FALSE) + 100</f>
        <v>100</v>
      </c>
      <c r="R17">
        <f>VLOOKUP(Format1!R16,Labels!$H$3:$I$92,2,FALSE) + 100</f>
        <v>123</v>
      </c>
      <c r="S17">
        <f>VLOOKUP(Format1!S16,Labels!$H$3:$I$92,2,FALSE) + 100</f>
        <v>124</v>
      </c>
      <c r="T17">
        <f>VLOOKUP(Format1!T16,Labels!$H$3:$I$92,2,FALSE) + 100</f>
        <v>100</v>
      </c>
      <c r="U17">
        <f>VLOOKUP(Format1!U16,Labels!$H$3:$I$92,2,FALSE) + 100</f>
        <v>100</v>
      </c>
      <c r="V17">
        <f>VLOOKUP(Format1!V16,Labels!$H$3:$I$92,2,FALSE) + 100</f>
        <v>100</v>
      </c>
      <c r="W17">
        <f>VLOOKUP(Format1!W16,Labels!$H$3:$I$92,2,FALSE) + 100</f>
        <v>100</v>
      </c>
      <c r="X17">
        <f>VLOOKUP(Format1!X16,Labels!$H$3:$I$92,2,FALSE) + 100</f>
        <v>100</v>
      </c>
      <c r="Y17">
        <f>VLOOKUP(Format1!Y16,Labels!$H$3:$I$92,2,FALSE) + 100</f>
        <v>100</v>
      </c>
      <c r="Z17">
        <f>VLOOKUP(Format1!Z16,Labels!$H$3:$I$92,2,FALSE) + 100</f>
        <v>100</v>
      </c>
      <c r="AA17">
        <f>VLOOKUP(Format1!AA16,Labels!$H$3:$I$92,2,FALSE) + 100</f>
        <v>100</v>
      </c>
      <c r="AB17">
        <f>VLOOKUP(Format1!AB16,Labels!$H$3:$I$92,2,FALSE) + 100</f>
        <v>100</v>
      </c>
      <c r="AC17">
        <f>VLOOKUP(Format1!AC16,Labels!$H$3:$I$92,2,FALSE) + 100</f>
        <v>100</v>
      </c>
      <c r="AD17">
        <f>VLOOKUP(Format1!AD16,Labels!$H$3:$I$92,2,FALSE) + 100</f>
        <v>100</v>
      </c>
      <c r="AE17">
        <f>VLOOKUP(Format1!AE16,Labels!$H$3:$I$92,2,FALSE) + 100</f>
        <v>100</v>
      </c>
      <c r="AF17">
        <f>VLOOKUP(Format1!AF16,Labels!$H$3:$I$92,2,FALSE) + 100</f>
        <v>100</v>
      </c>
      <c r="AG17">
        <f>VLOOKUP(Format1!AG16,Labels!$H$3:$I$92,2,FALSE) + 100</f>
        <v>100</v>
      </c>
      <c r="AH17">
        <f>VLOOKUP(Format1!AH16,Labels!$H$3:$I$92,2,FALSE) + 100</f>
        <v>100</v>
      </c>
      <c r="AI17">
        <f>VLOOKUP(Format1!AI16,Labels!$H$3:$I$92,2,FALSE) + 100</f>
        <v>100</v>
      </c>
      <c r="AJ17">
        <f>VLOOKUP(Format1!AJ16,Labels!$H$3:$I$92,2,FALSE) + 100</f>
        <v>100</v>
      </c>
      <c r="AK17">
        <f>VLOOKUP(Format1!AK16,Labels!$H$3:$I$92,2,FALSE) + 100</f>
        <v>100</v>
      </c>
      <c r="AL17">
        <f>VLOOKUP(Format1!AL16,Labels!$H$3:$I$92,2,FALSE) + 100</f>
        <v>100</v>
      </c>
      <c r="AM17">
        <f>VLOOKUP(Format1!AM16,Labels!$H$3:$I$92,2,FALSE) + 100</f>
        <v>100</v>
      </c>
      <c r="AN17">
        <f>VLOOKUP(Format1!AN16,Labels!$H$3:$I$92,2,FALSE) + 100</f>
        <v>100</v>
      </c>
      <c r="AO17">
        <f>VLOOKUP(Format1!AO16,Labels!$H$3:$I$92,2,FALSE) + 100</f>
        <v>100</v>
      </c>
      <c r="AP17">
        <f>VLOOKUP(Format1!AP16,Labels!$H$3:$I$92,2,FALSE) + 100</f>
        <v>100</v>
      </c>
      <c r="AQ17">
        <f>VLOOKUP(Format1!AQ16,Labels!$H$3:$I$92,2,FALSE) + 100</f>
        <v>100</v>
      </c>
      <c r="AR17">
        <f>VLOOKUP(Format1!AR16,Labels!$H$3:$I$92,2,FALSE) + 100</f>
        <v>100</v>
      </c>
      <c r="AS17">
        <f>VLOOKUP(Format1!AS16,Labels!$H$3:$I$92,2,FALSE) + 100</f>
        <v>100</v>
      </c>
      <c r="AT17">
        <f>VLOOKUP(Format1!AT16,Labels!$H$3:$I$92,2,FALSE) + 100</f>
        <v>100</v>
      </c>
      <c r="AU17">
        <f>VLOOKUP(Format1!AU16,Labels!$H$3:$I$92,2,FALSE) + 100</f>
        <v>100</v>
      </c>
      <c r="AV17">
        <f>VLOOKUP(Format1!AV16,Labels!$H$3:$I$92,2,FALSE) + 100</f>
        <v>100</v>
      </c>
      <c r="AW17">
        <f>VLOOKUP(Format1!AW16,Labels!$H$3:$I$92,2,FALSE) + 100</f>
        <v>100</v>
      </c>
      <c r="AX17">
        <f>VLOOKUP(Format1!AX16,Labels!$H$3:$I$92,2,FALSE) + 100</f>
        <v>100</v>
      </c>
      <c r="AY17">
        <f>VLOOKUP(Format1!AY16,Labels!$H$3:$I$92,2,FALSE) + 100</f>
        <v>100</v>
      </c>
      <c r="AZ17">
        <f>VLOOKUP(Format1!AZ16,Labels!$H$3:$I$92,2,FALSE) + 100</f>
        <v>100</v>
      </c>
      <c r="BA17">
        <f>VLOOKUP(Format1!BA16,Labels!$H$3:$I$92,2,FALSE) + 100</f>
        <v>100</v>
      </c>
      <c r="BB17">
        <f>VLOOKUP(Format1!BB16,Labels!$H$3:$I$92,2,FALSE) + 100</f>
        <v>100</v>
      </c>
      <c r="BC17">
        <f>VLOOKUP(Format1!BC16,Labels!$H$3:$I$92,2,FALSE) + 100</f>
        <v>100</v>
      </c>
      <c r="BD17">
        <f>VLOOKUP(Format1!BD16,Labels!$H$3:$I$92,2,FALSE) + 100</f>
        <v>100</v>
      </c>
      <c r="BE17">
        <f>VLOOKUP(Format1!BE16,Labels!$H$3:$I$92,2,FALSE) + 100</f>
        <v>100</v>
      </c>
    </row>
    <row r="18" spans="1:57" x14ac:dyDescent="0.35">
      <c r="A18" t="str">
        <v>Dimensao</v>
      </c>
      <c r="B18">
        <v>16</v>
      </c>
      <c r="C18">
        <f>VLOOKUP(Format1!C17,Labels!$H$3:$I$92,2,FALSE) + 100</f>
        <v>100</v>
      </c>
      <c r="D18">
        <f>VLOOKUP(Format1!D17,Labels!$H$3:$I$92,2,FALSE) + 100</f>
        <v>100</v>
      </c>
      <c r="E18">
        <f>VLOOKUP(Format1!E17,Labels!$H$3:$I$92,2,FALSE) + 100</f>
        <v>100</v>
      </c>
      <c r="F18">
        <f>VLOOKUP(Format1!F17,Labels!$H$3:$I$92,2,FALSE) + 100</f>
        <v>100</v>
      </c>
      <c r="G18">
        <f>VLOOKUP(Format1!G17,Labels!$H$3:$I$92,2,FALSE) + 100</f>
        <v>100</v>
      </c>
      <c r="H18">
        <f>VLOOKUP(Format1!H17,Labels!$H$3:$I$92,2,FALSE) + 100</f>
        <v>100</v>
      </c>
      <c r="I18">
        <f>VLOOKUP(Format1!I17,Labels!$H$3:$I$92,2,FALSE) + 100</f>
        <v>100</v>
      </c>
      <c r="J18">
        <f>VLOOKUP(Format1!J17,Labels!$H$3:$I$92,2,FALSE) + 100</f>
        <v>100</v>
      </c>
      <c r="K18">
        <f>VLOOKUP(Format1!K17,Labels!$H$3:$I$92,2,FALSE) + 100</f>
        <v>100</v>
      </c>
      <c r="L18">
        <f>VLOOKUP(Format1!L17,Labels!$H$3:$I$92,2,FALSE) + 100</f>
        <v>100</v>
      </c>
      <c r="M18">
        <f>VLOOKUP(Format1!M17,Labels!$H$3:$I$92,2,FALSE) + 100</f>
        <v>100</v>
      </c>
      <c r="N18">
        <f>VLOOKUP(Format1!N17,Labels!$H$3:$I$92,2,FALSE) + 100</f>
        <v>100</v>
      </c>
      <c r="O18">
        <f>VLOOKUP(Format1!O17,Labels!$H$3:$I$92,2,FALSE) + 100</f>
        <v>100</v>
      </c>
      <c r="P18">
        <f>VLOOKUP(Format1!P17,Labels!$H$3:$I$92,2,FALSE) + 100</f>
        <v>100</v>
      </c>
      <c r="Q18">
        <f>VLOOKUP(Format1!Q17,Labels!$H$3:$I$92,2,FALSE) + 100</f>
        <v>100</v>
      </c>
      <c r="R18">
        <f>VLOOKUP(Format1!R17,Labels!$H$3:$I$92,2,FALSE) + 100</f>
        <v>100</v>
      </c>
      <c r="S18">
        <f>VLOOKUP(Format1!S17,Labels!$H$3:$I$92,2,FALSE) + 100</f>
        <v>100</v>
      </c>
      <c r="T18">
        <f>VLOOKUP(Format1!T17,Labels!$H$3:$I$92,2,FALSE) + 100</f>
        <v>125</v>
      </c>
      <c r="U18">
        <f>VLOOKUP(Format1!U17,Labels!$H$3:$I$92,2,FALSE) + 100</f>
        <v>100</v>
      </c>
      <c r="V18">
        <f>VLOOKUP(Format1!V17,Labels!$H$3:$I$92,2,FALSE) + 100</f>
        <v>100</v>
      </c>
      <c r="W18">
        <f>VLOOKUP(Format1!W17,Labels!$H$3:$I$92,2,FALSE) + 100</f>
        <v>100</v>
      </c>
      <c r="X18">
        <f>VLOOKUP(Format1!X17,Labels!$H$3:$I$92,2,FALSE) + 100</f>
        <v>100</v>
      </c>
      <c r="Y18">
        <f>VLOOKUP(Format1!Y17,Labels!$H$3:$I$92,2,FALSE) + 100</f>
        <v>100</v>
      </c>
      <c r="Z18">
        <f>VLOOKUP(Format1!Z17,Labels!$H$3:$I$92,2,FALSE) + 100</f>
        <v>100</v>
      </c>
      <c r="AA18">
        <f>VLOOKUP(Format1!AA17,Labels!$H$3:$I$92,2,FALSE) + 100</f>
        <v>100</v>
      </c>
      <c r="AB18">
        <f>VLOOKUP(Format1!AB17,Labels!$H$3:$I$92,2,FALSE) + 100</f>
        <v>100</v>
      </c>
      <c r="AC18">
        <f>VLOOKUP(Format1!AC17,Labels!$H$3:$I$92,2,FALSE) + 100</f>
        <v>100</v>
      </c>
      <c r="AD18">
        <f>VLOOKUP(Format1!AD17,Labels!$H$3:$I$92,2,FALSE) + 100</f>
        <v>100</v>
      </c>
      <c r="AE18">
        <f>VLOOKUP(Format1!AE17,Labels!$H$3:$I$92,2,FALSE) + 100</f>
        <v>100</v>
      </c>
      <c r="AF18">
        <f>VLOOKUP(Format1!AF17,Labels!$H$3:$I$92,2,FALSE) + 100</f>
        <v>100</v>
      </c>
      <c r="AG18">
        <f>VLOOKUP(Format1!AG17,Labels!$H$3:$I$92,2,FALSE) + 100</f>
        <v>100</v>
      </c>
      <c r="AH18">
        <f>VLOOKUP(Format1!AH17,Labels!$H$3:$I$92,2,FALSE) + 100</f>
        <v>100</v>
      </c>
      <c r="AI18">
        <f>VLOOKUP(Format1!AI17,Labels!$H$3:$I$92,2,FALSE) + 100</f>
        <v>100</v>
      </c>
      <c r="AJ18">
        <f>VLOOKUP(Format1!AJ17,Labels!$H$3:$I$92,2,FALSE) + 100</f>
        <v>100</v>
      </c>
      <c r="AK18">
        <f>VLOOKUP(Format1!AK17,Labels!$H$3:$I$92,2,FALSE) + 100</f>
        <v>100</v>
      </c>
      <c r="AL18">
        <f>VLOOKUP(Format1!AL17,Labels!$H$3:$I$92,2,FALSE) + 100</f>
        <v>100</v>
      </c>
      <c r="AM18">
        <f>VLOOKUP(Format1!AM17,Labels!$H$3:$I$92,2,FALSE) + 100</f>
        <v>100</v>
      </c>
      <c r="AN18">
        <f>VLOOKUP(Format1!AN17,Labels!$H$3:$I$92,2,FALSE) + 100</f>
        <v>100</v>
      </c>
      <c r="AO18">
        <f>VLOOKUP(Format1!AO17,Labels!$H$3:$I$92,2,FALSE) + 100</f>
        <v>100</v>
      </c>
      <c r="AP18">
        <f>VLOOKUP(Format1!AP17,Labels!$H$3:$I$92,2,FALSE) + 100</f>
        <v>100</v>
      </c>
      <c r="AQ18">
        <f>VLOOKUP(Format1!AQ17,Labels!$H$3:$I$92,2,FALSE) + 100</f>
        <v>100</v>
      </c>
      <c r="AR18">
        <f>VLOOKUP(Format1!AR17,Labels!$H$3:$I$92,2,FALSE) + 100</f>
        <v>100</v>
      </c>
      <c r="AS18">
        <f>VLOOKUP(Format1!AS17,Labels!$H$3:$I$92,2,FALSE) + 100</f>
        <v>100</v>
      </c>
      <c r="AT18">
        <f>VLOOKUP(Format1!AT17,Labels!$H$3:$I$92,2,FALSE) + 100</f>
        <v>100</v>
      </c>
      <c r="AU18">
        <f>VLOOKUP(Format1!AU17,Labels!$H$3:$I$92,2,FALSE) + 100</f>
        <v>100</v>
      </c>
      <c r="AV18">
        <f>VLOOKUP(Format1!AV17,Labels!$H$3:$I$92,2,FALSE) + 100</f>
        <v>100</v>
      </c>
      <c r="AW18">
        <f>VLOOKUP(Format1!AW17,Labels!$H$3:$I$92,2,FALSE) + 100</f>
        <v>100</v>
      </c>
      <c r="AX18">
        <f>VLOOKUP(Format1!AX17,Labels!$H$3:$I$92,2,FALSE) + 100</f>
        <v>100</v>
      </c>
      <c r="AY18">
        <f>VLOOKUP(Format1!AY17,Labels!$H$3:$I$92,2,FALSE) + 100</f>
        <v>100</v>
      </c>
      <c r="AZ18">
        <f>VLOOKUP(Format1!AZ17,Labels!$H$3:$I$92,2,FALSE) + 100</f>
        <v>100</v>
      </c>
      <c r="BA18">
        <f>VLOOKUP(Format1!BA17,Labels!$H$3:$I$92,2,FALSE) + 100</f>
        <v>100</v>
      </c>
      <c r="BB18">
        <f>VLOOKUP(Format1!BB17,Labels!$H$3:$I$92,2,FALSE) + 100</f>
        <v>100</v>
      </c>
      <c r="BC18">
        <f>VLOOKUP(Format1!BC17,Labels!$H$3:$I$92,2,FALSE) + 100</f>
        <v>100</v>
      </c>
      <c r="BD18">
        <f>VLOOKUP(Format1!BD17,Labels!$H$3:$I$92,2,FALSE) + 100</f>
        <v>100</v>
      </c>
      <c r="BE18">
        <f>VLOOKUP(Format1!BE17,Labels!$H$3:$I$92,2,FALSE) + 100</f>
        <v>100</v>
      </c>
    </row>
    <row r="19" spans="1:57" x14ac:dyDescent="0.35">
      <c r="A19" t="str">
        <v>DimensaoBonus</v>
      </c>
      <c r="B19">
        <v>17</v>
      </c>
      <c r="C19">
        <f>VLOOKUP(Format1!C18,Labels!$H$3:$I$92,2,FALSE) + 100</f>
        <v>100</v>
      </c>
      <c r="D19">
        <f>VLOOKUP(Format1!D18,Labels!$H$3:$I$92,2,FALSE) + 100</f>
        <v>100</v>
      </c>
      <c r="E19">
        <f>VLOOKUP(Format1!E18,Labels!$H$3:$I$92,2,FALSE) + 100</f>
        <v>100</v>
      </c>
      <c r="F19">
        <f>VLOOKUP(Format1!F18,Labels!$H$3:$I$92,2,FALSE) + 100</f>
        <v>100</v>
      </c>
      <c r="G19">
        <f>VLOOKUP(Format1!G18,Labels!$H$3:$I$92,2,FALSE) + 100</f>
        <v>100</v>
      </c>
      <c r="H19">
        <f>VLOOKUP(Format1!H18,Labels!$H$3:$I$92,2,FALSE) + 100</f>
        <v>100</v>
      </c>
      <c r="I19">
        <f>VLOOKUP(Format1!I18,Labels!$H$3:$I$92,2,FALSE) + 100</f>
        <v>100</v>
      </c>
      <c r="J19">
        <f>VLOOKUP(Format1!J18,Labels!$H$3:$I$92,2,FALSE) + 100</f>
        <v>100</v>
      </c>
      <c r="K19">
        <f>VLOOKUP(Format1!K18,Labels!$H$3:$I$92,2,FALSE) + 100</f>
        <v>100</v>
      </c>
      <c r="L19">
        <f>VLOOKUP(Format1!L18,Labels!$H$3:$I$92,2,FALSE) + 100</f>
        <v>100</v>
      </c>
      <c r="M19">
        <f>VLOOKUP(Format1!M18,Labels!$H$3:$I$92,2,FALSE) + 100</f>
        <v>100</v>
      </c>
      <c r="N19">
        <f>VLOOKUP(Format1!N18,Labels!$H$3:$I$92,2,FALSE) + 100</f>
        <v>100</v>
      </c>
      <c r="O19">
        <f>VLOOKUP(Format1!O18,Labels!$H$3:$I$92,2,FALSE) + 100</f>
        <v>100</v>
      </c>
      <c r="P19">
        <f>VLOOKUP(Format1!P18,Labels!$H$3:$I$92,2,FALSE) + 100</f>
        <v>127</v>
      </c>
      <c r="Q19">
        <f>VLOOKUP(Format1!Q18,Labels!$H$3:$I$92,2,FALSE) + 100</f>
        <v>126</v>
      </c>
      <c r="R19">
        <f>VLOOKUP(Format1!R18,Labels!$H$3:$I$92,2,FALSE) + 100</f>
        <v>100</v>
      </c>
      <c r="S19">
        <f>VLOOKUP(Format1!S18,Labels!$H$3:$I$92,2,FALSE) + 100</f>
        <v>100</v>
      </c>
      <c r="T19">
        <f>VLOOKUP(Format1!T18,Labels!$H$3:$I$92,2,FALSE) + 100</f>
        <v>100</v>
      </c>
      <c r="U19">
        <f>VLOOKUP(Format1!U18,Labels!$H$3:$I$92,2,FALSE) + 100</f>
        <v>100</v>
      </c>
      <c r="V19">
        <f>VLOOKUP(Format1!V18,Labels!$H$3:$I$92,2,FALSE) + 100</f>
        <v>100</v>
      </c>
      <c r="W19">
        <f>VLOOKUP(Format1!W18,Labels!$H$3:$I$92,2,FALSE) + 100</f>
        <v>100</v>
      </c>
      <c r="X19">
        <f>VLOOKUP(Format1!X18,Labels!$H$3:$I$92,2,FALSE) + 100</f>
        <v>100</v>
      </c>
      <c r="Y19">
        <f>VLOOKUP(Format1!Y18,Labels!$H$3:$I$92,2,FALSE) + 100</f>
        <v>100</v>
      </c>
      <c r="Z19">
        <f>VLOOKUP(Format1!Z18,Labels!$H$3:$I$92,2,FALSE) + 100</f>
        <v>100</v>
      </c>
      <c r="AA19">
        <f>VLOOKUP(Format1!AA18,Labels!$H$3:$I$92,2,FALSE) + 100</f>
        <v>100</v>
      </c>
      <c r="AB19">
        <f>VLOOKUP(Format1!AB18,Labels!$H$3:$I$92,2,FALSE) + 100</f>
        <v>100</v>
      </c>
      <c r="AC19">
        <f>VLOOKUP(Format1!AC18,Labels!$H$3:$I$92,2,FALSE) + 100</f>
        <v>100</v>
      </c>
      <c r="AD19">
        <f>VLOOKUP(Format1!AD18,Labels!$H$3:$I$92,2,FALSE) + 100</f>
        <v>100</v>
      </c>
      <c r="AE19">
        <f>VLOOKUP(Format1!AE18,Labels!$H$3:$I$92,2,FALSE) + 100</f>
        <v>100</v>
      </c>
      <c r="AF19">
        <f>VLOOKUP(Format1!AF18,Labels!$H$3:$I$92,2,FALSE) + 100</f>
        <v>100</v>
      </c>
      <c r="AG19">
        <f>VLOOKUP(Format1!AG18,Labels!$H$3:$I$92,2,FALSE) + 100</f>
        <v>100</v>
      </c>
      <c r="AH19">
        <f>VLOOKUP(Format1!AH18,Labels!$H$3:$I$92,2,FALSE) + 100</f>
        <v>100</v>
      </c>
      <c r="AI19">
        <f>VLOOKUP(Format1!AI18,Labels!$H$3:$I$92,2,FALSE) + 100</f>
        <v>100</v>
      </c>
      <c r="AJ19">
        <f>VLOOKUP(Format1!AJ18,Labels!$H$3:$I$92,2,FALSE) + 100</f>
        <v>100</v>
      </c>
      <c r="AK19">
        <f>VLOOKUP(Format1!AK18,Labels!$H$3:$I$92,2,FALSE) + 100</f>
        <v>100</v>
      </c>
      <c r="AL19">
        <f>VLOOKUP(Format1!AL18,Labels!$H$3:$I$92,2,FALSE) + 100</f>
        <v>100</v>
      </c>
      <c r="AM19">
        <f>VLOOKUP(Format1!AM18,Labels!$H$3:$I$92,2,FALSE) + 100</f>
        <v>100</v>
      </c>
      <c r="AN19">
        <f>VLOOKUP(Format1!AN18,Labels!$H$3:$I$92,2,FALSE) + 100</f>
        <v>100</v>
      </c>
      <c r="AO19">
        <f>VLOOKUP(Format1!AO18,Labels!$H$3:$I$92,2,FALSE) + 100</f>
        <v>100</v>
      </c>
      <c r="AP19">
        <f>VLOOKUP(Format1!AP18,Labels!$H$3:$I$92,2,FALSE) + 100</f>
        <v>100</v>
      </c>
      <c r="AQ19">
        <f>VLOOKUP(Format1!AQ18,Labels!$H$3:$I$92,2,FALSE) + 100</f>
        <v>100</v>
      </c>
      <c r="AR19">
        <f>VLOOKUP(Format1!AR18,Labels!$H$3:$I$92,2,FALSE) + 100</f>
        <v>100</v>
      </c>
      <c r="AS19">
        <f>VLOOKUP(Format1!AS18,Labels!$H$3:$I$92,2,FALSE) + 100</f>
        <v>100</v>
      </c>
      <c r="AT19">
        <f>VLOOKUP(Format1!AT18,Labels!$H$3:$I$92,2,FALSE) + 100</f>
        <v>100</v>
      </c>
      <c r="AU19">
        <f>VLOOKUP(Format1!AU18,Labels!$H$3:$I$92,2,FALSE) + 100</f>
        <v>100</v>
      </c>
      <c r="AV19">
        <f>VLOOKUP(Format1!AV18,Labels!$H$3:$I$92,2,FALSE) + 100</f>
        <v>100</v>
      </c>
      <c r="AW19">
        <f>VLOOKUP(Format1!AW18,Labels!$H$3:$I$92,2,FALSE) + 100</f>
        <v>100</v>
      </c>
      <c r="AX19">
        <f>VLOOKUP(Format1!AX18,Labels!$H$3:$I$92,2,FALSE) + 100</f>
        <v>100</v>
      </c>
      <c r="AY19">
        <f>VLOOKUP(Format1!AY18,Labels!$H$3:$I$92,2,FALSE) + 100</f>
        <v>100</v>
      </c>
      <c r="AZ19">
        <f>VLOOKUP(Format1!AZ18,Labels!$H$3:$I$92,2,FALSE) + 100</f>
        <v>100</v>
      </c>
      <c r="BA19">
        <f>VLOOKUP(Format1!BA18,Labels!$H$3:$I$92,2,FALSE) + 100</f>
        <v>100</v>
      </c>
      <c r="BB19">
        <f>VLOOKUP(Format1!BB18,Labels!$H$3:$I$92,2,FALSE) + 100</f>
        <v>100</v>
      </c>
      <c r="BC19">
        <f>VLOOKUP(Format1!BC18,Labels!$H$3:$I$92,2,FALSE) + 100</f>
        <v>100</v>
      </c>
      <c r="BD19">
        <f>VLOOKUP(Format1!BD18,Labels!$H$3:$I$92,2,FALSE) + 100</f>
        <v>100</v>
      </c>
      <c r="BE19">
        <f>VLOOKUP(Format1!BE18,Labels!$H$3:$I$92,2,FALSE) + 100</f>
        <v>100</v>
      </c>
    </row>
    <row r="20" spans="1:57" x14ac:dyDescent="0.35">
      <c r="A20" t="str">
        <v>TipoBasico</v>
      </c>
      <c r="B20">
        <v>18</v>
      </c>
      <c r="C20">
        <f>VLOOKUP(Format1!C19,Labels!$H$3:$I$92,2,FALSE) + 100</f>
        <v>100</v>
      </c>
      <c r="D20">
        <f>VLOOKUP(Format1!D19,Labels!$H$3:$I$92,2,FALSE) + 100</f>
        <v>132</v>
      </c>
      <c r="E20">
        <f>VLOOKUP(Format1!E19,Labels!$H$3:$I$92,2,FALSE) + 100</f>
        <v>100</v>
      </c>
      <c r="F20">
        <f>VLOOKUP(Format1!F19,Labels!$H$3:$I$92,2,FALSE) + 100</f>
        <v>100</v>
      </c>
      <c r="G20">
        <f>VLOOKUP(Format1!G19,Labels!$H$3:$I$92,2,FALSE) + 100</f>
        <v>100</v>
      </c>
      <c r="H20">
        <f>VLOOKUP(Format1!H19,Labels!$H$3:$I$92,2,FALSE) + 100</f>
        <v>100</v>
      </c>
      <c r="I20">
        <f>VLOOKUP(Format1!I19,Labels!$H$3:$I$92,2,FALSE) + 100</f>
        <v>100</v>
      </c>
      <c r="J20">
        <f>VLOOKUP(Format1!J19,Labels!$H$3:$I$92,2,FALSE) + 100</f>
        <v>100</v>
      </c>
      <c r="K20">
        <f>VLOOKUP(Format1!K19,Labels!$H$3:$I$92,2,FALSE) + 100</f>
        <v>100</v>
      </c>
      <c r="L20">
        <f>VLOOKUP(Format1!L19,Labels!$H$3:$I$92,2,FALSE) + 100</f>
        <v>100</v>
      </c>
      <c r="M20">
        <f>VLOOKUP(Format1!M19,Labels!$H$3:$I$92,2,FALSE) + 100</f>
        <v>100</v>
      </c>
      <c r="N20">
        <f>VLOOKUP(Format1!N19,Labels!$H$3:$I$92,2,FALSE) + 100</f>
        <v>100</v>
      </c>
      <c r="O20">
        <f>VLOOKUP(Format1!O19,Labels!$H$3:$I$92,2,FALSE) + 100</f>
        <v>100</v>
      </c>
      <c r="P20">
        <f>VLOOKUP(Format1!P19,Labels!$H$3:$I$92,2,FALSE) + 100</f>
        <v>100</v>
      </c>
      <c r="Q20">
        <f>VLOOKUP(Format1!Q19,Labels!$H$3:$I$92,2,FALSE) + 100</f>
        <v>100</v>
      </c>
      <c r="R20">
        <f>VLOOKUP(Format1!R19,Labels!$H$3:$I$92,2,FALSE) + 100</f>
        <v>100</v>
      </c>
      <c r="S20">
        <f>VLOOKUP(Format1!S19,Labels!$H$3:$I$92,2,FALSE) + 100</f>
        <v>100</v>
      </c>
      <c r="T20">
        <f>VLOOKUP(Format1!T19,Labels!$H$3:$I$92,2,FALSE) + 100</f>
        <v>100</v>
      </c>
      <c r="U20">
        <f>VLOOKUP(Format1!U19,Labels!$H$3:$I$92,2,FALSE) + 100</f>
        <v>128</v>
      </c>
      <c r="V20">
        <f>VLOOKUP(Format1!V19,Labels!$H$3:$I$92,2,FALSE) + 100</f>
        <v>129</v>
      </c>
      <c r="W20">
        <f>VLOOKUP(Format1!W19,Labels!$H$3:$I$92,2,FALSE) + 100</f>
        <v>130</v>
      </c>
      <c r="X20">
        <f>VLOOKUP(Format1!X19,Labels!$H$3:$I$92,2,FALSE) + 100</f>
        <v>131</v>
      </c>
      <c r="Y20">
        <f>VLOOKUP(Format1!Y19,Labels!$H$3:$I$92,2,FALSE) + 100</f>
        <v>100</v>
      </c>
      <c r="Z20">
        <f>VLOOKUP(Format1!Z19,Labels!$H$3:$I$92,2,FALSE) + 100</f>
        <v>100</v>
      </c>
      <c r="AA20">
        <f>VLOOKUP(Format1!AA19,Labels!$H$3:$I$92,2,FALSE) + 100</f>
        <v>100</v>
      </c>
      <c r="AB20">
        <f>VLOOKUP(Format1!AB19,Labels!$H$3:$I$92,2,FALSE) + 100</f>
        <v>100</v>
      </c>
      <c r="AC20">
        <f>VLOOKUP(Format1!AC19,Labels!$H$3:$I$92,2,FALSE) + 100</f>
        <v>100</v>
      </c>
      <c r="AD20">
        <f>VLOOKUP(Format1!AD19,Labels!$H$3:$I$92,2,FALSE) + 100</f>
        <v>100</v>
      </c>
      <c r="AE20">
        <f>VLOOKUP(Format1!AE19,Labels!$H$3:$I$92,2,FALSE) + 100</f>
        <v>100</v>
      </c>
      <c r="AF20">
        <f>VLOOKUP(Format1!AF19,Labels!$H$3:$I$92,2,FALSE) + 100</f>
        <v>100</v>
      </c>
      <c r="AG20">
        <f>VLOOKUP(Format1!AG19,Labels!$H$3:$I$92,2,FALSE) + 100</f>
        <v>100</v>
      </c>
      <c r="AH20">
        <f>VLOOKUP(Format1!AH19,Labels!$H$3:$I$92,2,FALSE) + 100</f>
        <v>100</v>
      </c>
      <c r="AI20">
        <f>VLOOKUP(Format1!AI19,Labels!$H$3:$I$92,2,FALSE) + 100</f>
        <v>100</v>
      </c>
      <c r="AJ20">
        <f>VLOOKUP(Format1!AJ19,Labels!$H$3:$I$92,2,FALSE) + 100</f>
        <v>100</v>
      </c>
      <c r="AK20">
        <f>VLOOKUP(Format1!AK19,Labels!$H$3:$I$92,2,FALSE) + 100</f>
        <v>100</v>
      </c>
      <c r="AL20">
        <f>VLOOKUP(Format1!AL19,Labels!$H$3:$I$92,2,FALSE) + 100</f>
        <v>100</v>
      </c>
      <c r="AM20">
        <f>VLOOKUP(Format1!AM19,Labels!$H$3:$I$92,2,FALSE) + 100</f>
        <v>100</v>
      </c>
      <c r="AN20">
        <f>VLOOKUP(Format1!AN19,Labels!$H$3:$I$92,2,FALSE) + 100</f>
        <v>100</v>
      </c>
      <c r="AO20">
        <f>VLOOKUP(Format1!AO19,Labels!$H$3:$I$92,2,FALSE) + 100</f>
        <v>100</v>
      </c>
      <c r="AP20">
        <f>VLOOKUP(Format1!AP19,Labels!$H$3:$I$92,2,FALSE) + 100</f>
        <v>100</v>
      </c>
      <c r="AQ20">
        <f>VLOOKUP(Format1!AQ19,Labels!$H$3:$I$92,2,FALSE) + 100</f>
        <v>100</v>
      </c>
      <c r="AR20">
        <f>VLOOKUP(Format1!AR19,Labels!$H$3:$I$92,2,FALSE) + 100</f>
        <v>100</v>
      </c>
      <c r="AS20">
        <f>VLOOKUP(Format1!AS19,Labels!$H$3:$I$92,2,FALSE) + 100</f>
        <v>100</v>
      </c>
      <c r="AT20">
        <f>VLOOKUP(Format1!AT19,Labels!$H$3:$I$92,2,FALSE) + 100</f>
        <v>100</v>
      </c>
      <c r="AU20">
        <f>VLOOKUP(Format1!AU19,Labels!$H$3:$I$92,2,FALSE) + 100</f>
        <v>100</v>
      </c>
      <c r="AV20">
        <f>VLOOKUP(Format1!AV19,Labels!$H$3:$I$92,2,FALSE) + 100</f>
        <v>100</v>
      </c>
      <c r="AW20">
        <f>VLOOKUP(Format1!AW19,Labels!$H$3:$I$92,2,FALSE) + 100</f>
        <v>100</v>
      </c>
      <c r="AX20">
        <f>VLOOKUP(Format1!AX19,Labels!$H$3:$I$92,2,FALSE) + 100</f>
        <v>100</v>
      </c>
      <c r="AY20">
        <f>VLOOKUP(Format1!AY19,Labels!$H$3:$I$92,2,FALSE) + 100</f>
        <v>100</v>
      </c>
      <c r="AZ20">
        <f>VLOOKUP(Format1!AZ19,Labels!$H$3:$I$92,2,FALSE) + 100</f>
        <v>100</v>
      </c>
      <c r="BA20">
        <f>VLOOKUP(Format1!BA19,Labels!$H$3:$I$92,2,FALSE) + 100</f>
        <v>100</v>
      </c>
      <c r="BB20">
        <f>VLOOKUP(Format1!BB19,Labels!$H$3:$I$92,2,FALSE) + 100</f>
        <v>100</v>
      </c>
      <c r="BC20">
        <f>VLOOKUP(Format1!BC19,Labels!$H$3:$I$92,2,FALSE) + 100</f>
        <v>100</v>
      </c>
      <c r="BD20">
        <f>VLOOKUP(Format1!BD19,Labels!$H$3:$I$92,2,FALSE) + 100</f>
        <v>100</v>
      </c>
      <c r="BE20">
        <f>VLOOKUP(Format1!BE19,Labels!$H$3:$I$92,2,FALSE) + 100</f>
        <v>100</v>
      </c>
    </row>
    <row r="21" spans="1:57" x14ac:dyDescent="0.35">
      <c r="A21" t="str">
        <v>BlocoComandos</v>
      </c>
      <c r="B21">
        <v>19</v>
      </c>
      <c r="C21">
        <f>VLOOKUP(Format1!C20,Labels!$H$3:$I$92,2,FALSE) + 100</f>
        <v>100</v>
      </c>
      <c r="D21">
        <f>VLOOKUP(Format1!D20,Labels!$H$3:$I$92,2,FALSE) + 100</f>
        <v>100</v>
      </c>
      <c r="E21">
        <f>VLOOKUP(Format1!E20,Labels!$H$3:$I$92,2,FALSE) + 100</f>
        <v>100</v>
      </c>
      <c r="F21">
        <f>VLOOKUP(Format1!F20,Labels!$H$3:$I$92,2,FALSE) + 100</f>
        <v>100</v>
      </c>
      <c r="G21">
        <f>VLOOKUP(Format1!G20,Labels!$H$3:$I$92,2,FALSE) + 100</f>
        <v>100</v>
      </c>
      <c r="H21">
        <f>VLOOKUP(Format1!H20,Labels!$H$3:$I$92,2,FALSE) + 100</f>
        <v>100</v>
      </c>
      <c r="I21">
        <f>VLOOKUP(Format1!I20,Labels!$H$3:$I$92,2,FALSE) + 100</f>
        <v>100</v>
      </c>
      <c r="J21">
        <f>VLOOKUP(Format1!J20,Labels!$H$3:$I$92,2,FALSE) + 100</f>
        <v>100</v>
      </c>
      <c r="K21">
        <f>VLOOKUP(Format1!K20,Labels!$H$3:$I$92,2,FALSE) + 100</f>
        <v>100</v>
      </c>
      <c r="L21">
        <f>VLOOKUP(Format1!L20,Labels!$H$3:$I$92,2,FALSE) + 100</f>
        <v>100</v>
      </c>
      <c r="M21">
        <f>VLOOKUP(Format1!M20,Labels!$H$3:$I$92,2,FALSE) + 100</f>
        <v>100</v>
      </c>
      <c r="N21">
        <f>VLOOKUP(Format1!N20,Labels!$H$3:$I$92,2,FALSE) + 100</f>
        <v>100</v>
      </c>
      <c r="O21">
        <f>VLOOKUP(Format1!O20,Labels!$H$3:$I$92,2,FALSE) + 100</f>
        <v>100</v>
      </c>
      <c r="P21">
        <f>VLOOKUP(Format1!P20,Labels!$H$3:$I$92,2,FALSE) + 100</f>
        <v>100</v>
      </c>
      <c r="Q21">
        <f>VLOOKUP(Format1!Q20,Labels!$H$3:$I$92,2,FALSE) + 100</f>
        <v>100</v>
      </c>
      <c r="R21">
        <f>VLOOKUP(Format1!R20,Labels!$H$3:$I$92,2,FALSE) + 100</f>
        <v>100</v>
      </c>
      <c r="S21">
        <f>VLOOKUP(Format1!S20,Labels!$H$3:$I$92,2,FALSE) + 100</f>
        <v>100</v>
      </c>
      <c r="T21">
        <f>VLOOKUP(Format1!T20,Labels!$H$3:$I$92,2,FALSE) + 100</f>
        <v>100</v>
      </c>
      <c r="U21">
        <f>VLOOKUP(Format1!U20,Labels!$H$3:$I$92,2,FALSE) + 100</f>
        <v>100</v>
      </c>
      <c r="V21">
        <f>VLOOKUP(Format1!V20,Labels!$H$3:$I$92,2,FALSE) + 100</f>
        <v>100</v>
      </c>
      <c r="W21">
        <f>VLOOKUP(Format1!W20,Labels!$H$3:$I$92,2,FALSE) + 100</f>
        <v>100</v>
      </c>
      <c r="X21">
        <f>VLOOKUP(Format1!X20,Labels!$H$3:$I$92,2,FALSE) + 100</f>
        <v>100</v>
      </c>
      <c r="Y21">
        <f>VLOOKUP(Format1!Y20,Labels!$H$3:$I$92,2,FALSE) + 100</f>
        <v>133</v>
      </c>
      <c r="Z21">
        <f>VLOOKUP(Format1!Z20,Labels!$H$3:$I$92,2,FALSE) + 100</f>
        <v>100</v>
      </c>
      <c r="AA21">
        <f>VLOOKUP(Format1!AA20,Labels!$H$3:$I$92,2,FALSE) + 100</f>
        <v>100</v>
      </c>
      <c r="AB21">
        <f>VLOOKUP(Format1!AB20,Labels!$H$3:$I$92,2,FALSE) + 100</f>
        <v>100</v>
      </c>
      <c r="AC21">
        <f>VLOOKUP(Format1!AC20,Labels!$H$3:$I$92,2,FALSE) + 100</f>
        <v>100</v>
      </c>
      <c r="AD21">
        <f>VLOOKUP(Format1!AD20,Labels!$H$3:$I$92,2,FALSE) + 100</f>
        <v>100</v>
      </c>
      <c r="AE21">
        <f>VLOOKUP(Format1!AE20,Labels!$H$3:$I$92,2,FALSE) + 100</f>
        <v>100</v>
      </c>
      <c r="AF21">
        <f>VLOOKUP(Format1!AF20,Labels!$H$3:$I$92,2,FALSE) + 100</f>
        <v>100</v>
      </c>
      <c r="AG21">
        <f>VLOOKUP(Format1!AG20,Labels!$H$3:$I$92,2,FALSE) + 100</f>
        <v>100</v>
      </c>
      <c r="AH21">
        <f>VLOOKUP(Format1!AH20,Labels!$H$3:$I$92,2,FALSE) + 100</f>
        <v>100</v>
      </c>
      <c r="AI21">
        <f>VLOOKUP(Format1!AI20,Labels!$H$3:$I$92,2,FALSE) + 100</f>
        <v>100</v>
      </c>
      <c r="AJ21">
        <f>VLOOKUP(Format1!AJ20,Labels!$H$3:$I$92,2,FALSE) + 100</f>
        <v>100</v>
      </c>
      <c r="AK21">
        <f>VLOOKUP(Format1!AK20,Labels!$H$3:$I$92,2,FALSE) + 100</f>
        <v>100</v>
      </c>
      <c r="AL21">
        <f>VLOOKUP(Format1!AL20,Labels!$H$3:$I$92,2,FALSE) + 100</f>
        <v>100</v>
      </c>
      <c r="AM21">
        <f>VLOOKUP(Format1!AM20,Labels!$H$3:$I$92,2,FALSE) + 100</f>
        <v>100</v>
      </c>
      <c r="AN21">
        <f>VLOOKUP(Format1!AN20,Labels!$H$3:$I$92,2,FALSE) + 100</f>
        <v>100</v>
      </c>
      <c r="AO21">
        <f>VLOOKUP(Format1!AO20,Labels!$H$3:$I$92,2,FALSE) + 100</f>
        <v>100</v>
      </c>
      <c r="AP21">
        <f>VLOOKUP(Format1!AP20,Labels!$H$3:$I$92,2,FALSE) + 100</f>
        <v>100</v>
      </c>
      <c r="AQ21">
        <f>VLOOKUP(Format1!AQ20,Labels!$H$3:$I$92,2,FALSE) + 100</f>
        <v>100</v>
      </c>
      <c r="AR21">
        <f>VLOOKUP(Format1!AR20,Labels!$H$3:$I$92,2,FALSE) + 100</f>
        <v>100</v>
      </c>
      <c r="AS21">
        <f>VLOOKUP(Format1!AS20,Labels!$H$3:$I$92,2,FALSE) + 100</f>
        <v>100</v>
      </c>
      <c r="AT21">
        <f>VLOOKUP(Format1!AT20,Labels!$H$3:$I$92,2,FALSE) + 100</f>
        <v>100</v>
      </c>
      <c r="AU21">
        <f>VLOOKUP(Format1!AU20,Labels!$H$3:$I$92,2,FALSE) + 100</f>
        <v>100</v>
      </c>
      <c r="AV21">
        <f>VLOOKUP(Format1!AV20,Labels!$H$3:$I$92,2,FALSE) + 100</f>
        <v>100</v>
      </c>
      <c r="AW21">
        <f>VLOOKUP(Format1!AW20,Labels!$H$3:$I$92,2,FALSE) + 100</f>
        <v>100</v>
      </c>
      <c r="AX21">
        <f>VLOOKUP(Format1!AX20,Labels!$H$3:$I$92,2,FALSE) + 100</f>
        <v>100</v>
      </c>
      <c r="AY21">
        <f>VLOOKUP(Format1!AY20,Labels!$H$3:$I$92,2,FALSE) + 100</f>
        <v>100</v>
      </c>
      <c r="AZ21">
        <f>VLOOKUP(Format1!AZ20,Labels!$H$3:$I$92,2,FALSE) + 100</f>
        <v>100</v>
      </c>
      <c r="BA21">
        <f>VLOOKUP(Format1!BA20,Labels!$H$3:$I$92,2,FALSE) + 100</f>
        <v>100</v>
      </c>
      <c r="BB21">
        <f>VLOOKUP(Format1!BB20,Labels!$H$3:$I$92,2,FALSE) + 100</f>
        <v>100</v>
      </c>
      <c r="BC21">
        <f>VLOOKUP(Format1!BC20,Labels!$H$3:$I$92,2,FALSE) + 100</f>
        <v>100</v>
      </c>
      <c r="BD21">
        <f>VLOOKUP(Format1!BD20,Labels!$H$3:$I$92,2,FALSE) + 100</f>
        <v>100</v>
      </c>
      <c r="BE21">
        <f>VLOOKUP(Format1!BE20,Labels!$H$3:$I$92,2,FALSE) + 100</f>
        <v>100</v>
      </c>
    </row>
    <row r="22" spans="1:57" x14ac:dyDescent="0.35">
      <c r="A22" t="str">
        <v>ListaComandos</v>
      </c>
      <c r="B22">
        <v>20</v>
      </c>
      <c r="C22">
        <f>VLOOKUP(Format1!C21,Labels!$H$3:$I$92,2,FALSE) + 100</f>
        <v>100</v>
      </c>
      <c r="D22">
        <f>VLOOKUP(Format1!D21,Labels!$H$3:$I$92,2,FALSE) + 100</f>
        <v>134</v>
      </c>
      <c r="E22">
        <f>VLOOKUP(Format1!E21,Labels!$H$3:$I$92,2,FALSE) + 100</f>
        <v>100</v>
      </c>
      <c r="F22">
        <f>VLOOKUP(Format1!F21,Labels!$H$3:$I$92,2,FALSE) + 100</f>
        <v>100</v>
      </c>
      <c r="G22">
        <f>VLOOKUP(Format1!G21,Labels!$H$3:$I$92,2,FALSE) + 100</f>
        <v>100</v>
      </c>
      <c r="H22">
        <f>VLOOKUP(Format1!H21,Labels!$H$3:$I$92,2,FALSE) + 100</f>
        <v>100</v>
      </c>
      <c r="I22">
        <f>VLOOKUP(Format1!I21,Labels!$H$3:$I$92,2,FALSE) + 100</f>
        <v>100</v>
      </c>
      <c r="J22">
        <f>VLOOKUP(Format1!J21,Labels!$H$3:$I$92,2,FALSE) + 100</f>
        <v>100</v>
      </c>
      <c r="K22">
        <f>VLOOKUP(Format1!K21,Labels!$H$3:$I$92,2,FALSE) + 100</f>
        <v>100</v>
      </c>
      <c r="L22">
        <f>VLOOKUP(Format1!L21,Labels!$H$3:$I$92,2,FALSE) + 100</f>
        <v>100</v>
      </c>
      <c r="M22">
        <f>VLOOKUP(Format1!M21,Labels!$H$3:$I$92,2,FALSE) + 100</f>
        <v>100</v>
      </c>
      <c r="N22">
        <f>VLOOKUP(Format1!N21,Labels!$H$3:$I$92,2,FALSE) + 100</f>
        <v>100</v>
      </c>
      <c r="O22">
        <f>VLOOKUP(Format1!O21,Labels!$H$3:$I$92,2,FALSE) + 100</f>
        <v>100</v>
      </c>
      <c r="P22">
        <f>VLOOKUP(Format1!P21,Labels!$H$3:$I$92,2,FALSE) + 100</f>
        <v>100</v>
      </c>
      <c r="Q22">
        <f>VLOOKUP(Format1!Q21,Labels!$H$3:$I$92,2,FALSE) + 100</f>
        <v>100</v>
      </c>
      <c r="R22">
        <f>VLOOKUP(Format1!R21,Labels!$H$3:$I$92,2,FALSE) + 100</f>
        <v>100</v>
      </c>
      <c r="S22">
        <f>VLOOKUP(Format1!S21,Labels!$H$3:$I$92,2,FALSE) + 100</f>
        <v>100</v>
      </c>
      <c r="T22">
        <f>VLOOKUP(Format1!T21,Labels!$H$3:$I$92,2,FALSE) + 100</f>
        <v>100</v>
      </c>
      <c r="U22">
        <f>VLOOKUP(Format1!U21,Labels!$H$3:$I$92,2,FALSE) + 100</f>
        <v>100</v>
      </c>
      <c r="V22">
        <f>VLOOKUP(Format1!V21,Labels!$H$3:$I$92,2,FALSE) + 100</f>
        <v>100</v>
      </c>
      <c r="W22">
        <f>VLOOKUP(Format1!W21,Labels!$H$3:$I$92,2,FALSE) + 100</f>
        <v>100</v>
      </c>
      <c r="X22">
        <f>VLOOKUP(Format1!X21,Labels!$H$3:$I$92,2,FALSE) + 100</f>
        <v>100</v>
      </c>
      <c r="Y22">
        <f>VLOOKUP(Format1!Y21,Labels!$H$3:$I$92,2,FALSE) + 100</f>
        <v>100</v>
      </c>
      <c r="Z22">
        <f>VLOOKUP(Format1!Z21,Labels!$H$3:$I$92,2,FALSE) + 100</f>
        <v>100</v>
      </c>
      <c r="AA22">
        <f>VLOOKUP(Format1!AA21,Labels!$H$3:$I$92,2,FALSE) + 100</f>
        <v>100</v>
      </c>
      <c r="AB22">
        <f>VLOOKUP(Format1!AB21,Labels!$H$3:$I$92,2,FALSE) + 100</f>
        <v>134</v>
      </c>
      <c r="AC22">
        <f>VLOOKUP(Format1!AC21,Labels!$H$3:$I$92,2,FALSE) + 100</f>
        <v>100</v>
      </c>
      <c r="AD22">
        <f>VLOOKUP(Format1!AD21,Labels!$H$3:$I$92,2,FALSE) + 100</f>
        <v>100</v>
      </c>
      <c r="AE22">
        <f>VLOOKUP(Format1!AE21,Labels!$H$3:$I$92,2,FALSE) + 100</f>
        <v>134</v>
      </c>
      <c r="AF22">
        <f>VLOOKUP(Format1!AF21,Labels!$H$3:$I$92,2,FALSE) + 100</f>
        <v>100</v>
      </c>
      <c r="AG22">
        <f>VLOOKUP(Format1!AG21,Labels!$H$3:$I$92,2,FALSE) + 100</f>
        <v>134</v>
      </c>
      <c r="AH22">
        <f>VLOOKUP(Format1!AH21,Labels!$H$3:$I$92,2,FALSE) + 100</f>
        <v>100</v>
      </c>
      <c r="AI22">
        <f>VLOOKUP(Format1!AI21,Labels!$H$3:$I$92,2,FALSE) + 100</f>
        <v>100</v>
      </c>
      <c r="AJ22">
        <f>VLOOKUP(Format1!AJ21,Labels!$H$3:$I$92,2,FALSE) + 100</f>
        <v>100</v>
      </c>
      <c r="AK22">
        <f>VLOOKUP(Format1!AK21,Labels!$H$3:$I$92,2,FALSE) + 100</f>
        <v>134</v>
      </c>
      <c r="AL22">
        <f>VLOOKUP(Format1!AL21,Labels!$H$3:$I$92,2,FALSE) + 100</f>
        <v>134</v>
      </c>
      <c r="AM22">
        <f>VLOOKUP(Format1!AM21,Labels!$H$3:$I$92,2,FALSE) + 100</f>
        <v>134</v>
      </c>
      <c r="AN22">
        <f>VLOOKUP(Format1!AN21,Labels!$H$3:$I$92,2,FALSE) + 100</f>
        <v>100</v>
      </c>
      <c r="AO22">
        <f>VLOOKUP(Format1!AO21,Labels!$H$3:$I$92,2,FALSE) + 100</f>
        <v>100</v>
      </c>
      <c r="AP22">
        <f>VLOOKUP(Format1!AP21,Labels!$H$3:$I$92,2,FALSE) + 100</f>
        <v>100</v>
      </c>
      <c r="AQ22">
        <f>VLOOKUP(Format1!AQ21,Labels!$H$3:$I$92,2,FALSE) + 100</f>
        <v>100</v>
      </c>
      <c r="AR22">
        <f>VLOOKUP(Format1!AR21,Labels!$H$3:$I$92,2,FALSE) + 100</f>
        <v>100</v>
      </c>
      <c r="AS22">
        <f>VLOOKUP(Format1!AS21,Labels!$H$3:$I$92,2,FALSE) + 100</f>
        <v>100</v>
      </c>
      <c r="AT22">
        <f>VLOOKUP(Format1!AT21,Labels!$H$3:$I$92,2,FALSE) + 100</f>
        <v>100</v>
      </c>
      <c r="AU22">
        <f>VLOOKUP(Format1!AU21,Labels!$H$3:$I$92,2,FALSE) + 100</f>
        <v>100</v>
      </c>
      <c r="AV22">
        <f>VLOOKUP(Format1!AV21,Labels!$H$3:$I$92,2,FALSE) + 100</f>
        <v>100</v>
      </c>
      <c r="AW22">
        <f>VLOOKUP(Format1!AW21,Labels!$H$3:$I$92,2,FALSE) + 100</f>
        <v>100</v>
      </c>
      <c r="AX22">
        <f>VLOOKUP(Format1!AX21,Labels!$H$3:$I$92,2,FALSE) + 100</f>
        <v>100</v>
      </c>
      <c r="AY22">
        <f>VLOOKUP(Format1!AY21,Labels!$H$3:$I$92,2,FALSE) + 100</f>
        <v>100</v>
      </c>
      <c r="AZ22">
        <f>VLOOKUP(Format1!AZ21,Labels!$H$3:$I$92,2,FALSE) + 100</f>
        <v>100</v>
      </c>
      <c r="BA22">
        <f>VLOOKUP(Format1!BA21,Labels!$H$3:$I$92,2,FALSE) + 100</f>
        <v>100</v>
      </c>
      <c r="BB22">
        <f>VLOOKUP(Format1!BB21,Labels!$H$3:$I$92,2,FALSE) + 100</f>
        <v>100</v>
      </c>
      <c r="BC22">
        <f>VLOOKUP(Format1!BC21,Labels!$H$3:$I$92,2,FALSE) + 100</f>
        <v>100</v>
      </c>
      <c r="BD22">
        <f>VLOOKUP(Format1!BD21,Labels!$H$3:$I$92,2,FALSE) + 100</f>
        <v>100</v>
      </c>
      <c r="BE22">
        <f>VLOOKUP(Format1!BE21,Labels!$H$3:$I$92,2,FALSE) + 100</f>
        <v>100</v>
      </c>
    </row>
    <row r="23" spans="1:57" x14ac:dyDescent="0.35">
      <c r="A23" t="str">
        <v>ListaComandosBonus</v>
      </c>
      <c r="B23">
        <v>21</v>
      </c>
      <c r="C23">
        <f>VLOOKUP(Format1!C22,Labels!$H$3:$I$92,2,FALSE) + 100</f>
        <v>100</v>
      </c>
      <c r="D23">
        <f>VLOOKUP(Format1!D22,Labels!$H$3:$I$92,2,FALSE) + 100</f>
        <v>135</v>
      </c>
      <c r="E23">
        <f>VLOOKUP(Format1!E22,Labels!$H$3:$I$92,2,FALSE) + 100</f>
        <v>136</v>
      </c>
      <c r="F23">
        <f>VLOOKUP(Format1!F22,Labels!$H$3:$I$92,2,FALSE) + 100</f>
        <v>100</v>
      </c>
      <c r="G23">
        <f>VLOOKUP(Format1!G22,Labels!$H$3:$I$92,2,FALSE) + 100</f>
        <v>100</v>
      </c>
      <c r="H23">
        <f>VLOOKUP(Format1!H22,Labels!$H$3:$I$92,2,FALSE) + 100</f>
        <v>100</v>
      </c>
      <c r="I23">
        <f>VLOOKUP(Format1!I22,Labels!$H$3:$I$92,2,FALSE) + 100</f>
        <v>100</v>
      </c>
      <c r="J23">
        <f>VLOOKUP(Format1!J22,Labels!$H$3:$I$92,2,FALSE) + 100</f>
        <v>100</v>
      </c>
      <c r="K23">
        <f>VLOOKUP(Format1!K22,Labels!$H$3:$I$92,2,FALSE) + 100</f>
        <v>100</v>
      </c>
      <c r="L23">
        <f>VLOOKUP(Format1!L22,Labels!$H$3:$I$92,2,FALSE) + 100</f>
        <v>100</v>
      </c>
      <c r="M23">
        <f>VLOOKUP(Format1!M22,Labels!$H$3:$I$92,2,FALSE) + 100</f>
        <v>100</v>
      </c>
      <c r="N23">
        <f>VLOOKUP(Format1!N22,Labels!$H$3:$I$92,2,FALSE) + 100</f>
        <v>100</v>
      </c>
      <c r="O23">
        <f>VLOOKUP(Format1!O22,Labels!$H$3:$I$92,2,FALSE) + 100</f>
        <v>100</v>
      </c>
      <c r="P23">
        <f>VLOOKUP(Format1!P22,Labels!$H$3:$I$92,2,FALSE) + 100</f>
        <v>100</v>
      </c>
      <c r="Q23">
        <f>VLOOKUP(Format1!Q22,Labels!$H$3:$I$92,2,FALSE) + 100</f>
        <v>100</v>
      </c>
      <c r="R23">
        <f>VLOOKUP(Format1!R22,Labels!$H$3:$I$92,2,FALSE) + 100</f>
        <v>100</v>
      </c>
      <c r="S23">
        <f>VLOOKUP(Format1!S22,Labels!$H$3:$I$92,2,FALSE) + 100</f>
        <v>100</v>
      </c>
      <c r="T23">
        <f>VLOOKUP(Format1!T22,Labels!$H$3:$I$92,2,FALSE) + 100</f>
        <v>100</v>
      </c>
      <c r="U23">
        <f>VLOOKUP(Format1!U22,Labels!$H$3:$I$92,2,FALSE) + 100</f>
        <v>100</v>
      </c>
      <c r="V23">
        <f>VLOOKUP(Format1!V22,Labels!$H$3:$I$92,2,FALSE) + 100</f>
        <v>100</v>
      </c>
      <c r="W23">
        <f>VLOOKUP(Format1!W22,Labels!$H$3:$I$92,2,FALSE) + 100</f>
        <v>100</v>
      </c>
      <c r="X23">
        <f>VLOOKUP(Format1!X22,Labels!$H$3:$I$92,2,FALSE) + 100</f>
        <v>100</v>
      </c>
      <c r="Y23">
        <f>VLOOKUP(Format1!Y22,Labels!$H$3:$I$92,2,FALSE) + 100</f>
        <v>100</v>
      </c>
      <c r="Z23">
        <f>VLOOKUP(Format1!Z22,Labels!$H$3:$I$92,2,FALSE) + 100</f>
        <v>136</v>
      </c>
      <c r="AA23">
        <f>VLOOKUP(Format1!AA22,Labels!$H$3:$I$92,2,FALSE) + 100</f>
        <v>100</v>
      </c>
      <c r="AB23">
        <f>VLOOKUP(Format1!AB22,Labels!$H$3:$I$92,2,FALSE) + 100</f>
        <v>135</v>
      </c>
      <c r="AC23">
        <f>VLOOKUP(Format1!AC22,Labels!$H$3:$I$92,2,FALSE) + 100</f>
        <v>100</v>
      </c>
      <c r="AD23">
        <f>VLOOKUP(Format1!AD22,Labels!$H$3:$I$92,2,FALSE) + 100</f>
        <v>136</v>
      </c>
      <c r="AE23">
        <f>VLOOKUP(Format1!AE22,Labels!$H$3:$I$92,2,FALSE) + 100</f>
        <v>135</v>
      </c>
      <c r="AF23">
        <f>VLOOKUP(Format1!AF22,Labels!$H$3:$I$92,2,FALSE) + 100</f>
        <v>100</v>
      </c>
      <c r="AG23">
        <f>VLOOKUP(Format1!AG22,Labels!$H$3:$I$92,2,FALSE) + 100</f>
        <v>135</v>
      </c>
      <c r="AH23">
        <f>VLOOKUP(Format1!AH22,Labels!$H$3:$I$92,2,FALSE) + 100</f>
        <v>100</v>
      </c>
      <c r="AI23">
        <f>VLOOKUP(Format1!AI22,Labels!$H$3:$I$92,2,FALSE) + 100</f>
        <v>136</v>
      </c>
      <c r="AJ23">
        <f>VLOOKUP(Format1!AJ22,Labels!$H$3:$I$92,2,FALSE) + 100</f>
        <v>100</v>
      </c>
      <c r="AK23">
        <f>VLOOKUP(Format1!AK22,Labels!$H$3:$I$92,2,FALSE) + 100</f>
        <v>135</v>
      </c>
      <c r="AL23">
        <f>VLOOKUP(Format1!AL22,Labels!$H$3:$I$92,2,FALSE) + 100</f>
        <v>135</v>
      </c>
      <c r="AM23">
        <f>VLOOKUP(Format1!AM22,Labels!$H$3:$I$92,2,FALSE) + 100</f>
        <v>135</v>
      </c>
      <c r="AN23">
        <f>VLOOKUP(Format1!AN22,Labels!$H$3:$I$92,2,FALSE) + 100</f>
        <v>100</v>
      </c>
      <c r="AO23">
        <f>VLOOKUP(Format1!AO22,Labels!$H$3:$I$92,2,FALSE) + 100</f>
        <v>100</v>
      </c>
      <c r="AP23">
        <f>VLOOKUP(Format1!AP22,Labels!$H$3:$I$92,2,FALSE) + 100</f>
        <v>100</v>
      </c>
      <c r="AQ23">
        <f>VLOOKUP(Format1!AQ22,Labels!$H$3:$I$92,2,FALSE) + 100</f>
        <v>100</v>
      </c>
      <c r="AR23">
        <f>VLOOKUP(Format1!AR22,Labels!$H$3:$I$92,2,FALSE) + 100</f>
        <v>100</v>
      </c>
      <c r="AS23">
        <f>VLOOKUP(Format1!AS22,Labels!$H$3:$I$92,2,FALSE) + 100</f>
        <v>100</v>
      </c>
      <c r="AT23">
        <f>VLOOKUP(Format1!AT22,Labels!$H$3:$I$92,2,FALSE) + 100</f>
        <v>100</v>
      </c>
      <c r="AU23">
        <f>VLOOKUP(Format1!AU22,Labels!$H$3:$I$92,2,FALSE) + 100</f>
        <v>100</v>
      </c>
      <c r="AV23">
        <f>VLOOKUP(Format1!AV22,Labels!$H$3:$I$92,2,FALSE) + 100</f>
        <v>100</v>
      </c>
      <c r="AW23">
        <f>VLOOKUP(Format1!AW22,Labels!$H$3:$I$92,2,FALSE) + 100</f>
        <v>100</v>
      </c>
      <c r="AX23">
        <f>VLOOKUP(Format1!AX22,Labels!$H$3:$I$92,2,FALSE) + 100</f>
        <v>100</v>
      </c>
      <c r="AY23">
        <f>VLOOKUP(Format1!AY22,Labels!$H$3:$I$92,2,FALSE) + 100</f>
        <v>100</v>
      </c>
      <c r="AZ23">
        <f>VLOOKUP(Format1!AZ22,Labels!$H$3:$I$92,2,FALSE) + 100</f>
        <v>100</v>
      </c>
      <c r="BA23">
        <f>VLOOKUP(Format1!BA22,Labels!$H$3:$I$92,2,FALSE) + 100</f>
        <v>100</v>
      </c>
      <c r="BB23">
        <f>VLOOKUP(Format1!BB22,Labels!$H$3:$I$92,2,FALSE) + 100</f>
        <v>100</v>
      </c>
      <c r="BC23">
        <f>VLOOKUP(Format1!BC22,Labels!$H$3:$I$92,2,FALSE) + 100</f>
        <v>100</v>
      </c>
      <c r="BD23">
        <f>VLOOKUP(Format1!BD22,Labels!$H$3:$I$92,2,FALSE) + 100</f>
        <v>100</v>
      </c>
      <c r="BE23">
        <f>VLOOKUP(Format1!BE22,Labels!$H$3:$I$92,2,FALSE) + 100</f>
        <v>100</v>
      </c>
    </row>
    <row r="24" spans="1:57" x14ac:dyDescent="0.35">
      <c r="A24" t="str">
        <v>Comandos</v>
      </c>
      <c r="B24">
        <v>22</v>
      </c>
      <c r="C24">
        <f>VLOOKUP(Format1!C23,Labels!$H$3:$I$92,2,FALSE) + 100</f>
        <v>100</v>
      </c>
      <c r="D24">
        <f>VLOOKUP(Format1!D23,Labels!$H$3:$I$92,2,FALSE) + 100</f>
        <v>137</v>
      </c>
      <c r="E24">
        <f>VLOOKUP(Format1!E23,Labels!$H$3:$I$92,2,FALSE) + 100</f>
        <v>100</v>
      </c>
      <c r="F24">
        <f>VLOOKUP(Format1!F23,Labels!$H$3:$I$92,2,FALSE) + 100</f>
        <v>100</v>
      </c>
      <c r="G24">
        <f>VLOOKUP(Format1!G23,Labels!$H$3:$I$92,2,FALSE) + 100</f>
        <v>100</v>
      </c>
      <c r="H24">
        <f>VLOOKUP(Format1!H23,Labels!$H$3:$I$92,2,FALSE) + 100</f>
        <v>100</v>
      </c>
      <c r="I24">
        <f>VLOOKUP(Format1!I23,Labels!$H$3:$I$92,2,FALSE) + 100</f>
        <v>100</v>
      </c>
      <c r="J24">
        <f>VLOOKUP(Format1!J23,Labels!$H$3:$I$92,2,FALSE) + 100</f>
        <v>100</v>
      </c>
      <c r="K24">
        <f>VLOOKUP(Format1!K23,Labels!$H$3:$I$92,2,FALSE) + 100</f>
        <v>100</v>
      </c>
      <c r="L24">
        <f>VLOOKUP(Format1!L23,Labels!$H$3:$I$92,2,FALSE) + 100</f>
        <v>100</v>
      </c>
      <c r="M24">
        <f>VLOOKUP(Format1!M23,Labels!$H$3:$I$92,2,FALSE) + 100</f>
        <v>100</v>
      </c>
      <c r="N24">
        <f>VLOOKUP(Format1!N23,Labels!$H$3:$I$92,2,FALSE) + 100</f>
        <v>100</v>
      </c>
      <c r="O24">
        <f>VLOOKUP(Format1!O23,Labels!$H$3:$I$92,2,FALSE) + 100</f>
        <v>100</v>
      </c>
      <c r="P24">
        <f>VLOOKUP(Format1!P23,Labels!$H$3:$I$92,2,FALSE) + 100</f>
        <v>100</v>
      </c>
      <c r="Q24">
        <f>VLOOKUP(Format1!Q23,Labels!$H$3:$I$92,2,FALSE) + 100</f>
        <v>100</v>
      </c>
      <c r="R24">
        <f>VLOOKUP(Format1!R23,Labels!$H$3:$I$92,2,FALSE) + 100</f>
        <v>100</v>
      </c>
      <c r="S24">
        <f>VLOOKUP(Format1!S23,Labels!$H$3:$I$92,2,FALSE) + 100</f>
        <v>100</v>
      </c>
      <c r="T24">
        <f>VLOOKUP(Format1!T23,Labels!$H$3:$I$92,2,FALSE) + 100</f>
        <v>100</v>
      </c>
      <c r="U24">
        <f>VLOOKUP(Format1!U23,Labels!$H$3:$I$92,2,FALSE) + 100</f>
        <v>100</v>
      </c>
      <c r="V24">
        <f>VLOOKUP(Format1!V23,Labels!$H$3:$I$92,2,FALSE) + 100</f>
        <v>100</v>
      </c>
      <c r="W24">
        <f>VLOOKUP(Format1!W23,Labels!$H$3:$I$92,2,FALSE) + 100</f>
        <v>100</v>
      </c>
      <c r="X24">
        <f>VLOOKUP(Format1!X23,Labels!$H$3:$I$92,2,FALSE) + 100</f>
        <v>100</v>
      </c>
      <c r="Y24">
        <f>VLOOKUP(Format1!Y23,Labels!$H$3:$I$92,2,FALSE) + 100</f>
        <v>100</v>
      </c>
      <c r="Z24">
        <f>VLOOKUP(Format1!Z23,Labels!$H$3:$I$92,2,FALSE) + 100</f>
        <v>100</v>
      </c>
      <c r="AA24">
        <f>VLOOKUP(Format1!AA23,Labels!$H$3:$I$92,2,FALSE) + 100</f>
        <v>100</v>
      </c>
      <c r="AB24">
        <f>VLOOKUP(Format1!AB23,Labels!$H$3:$I$92,2,FALSE) + 100</f>
        <v>142</v>
      </c>
      <c r="AC24">
        <f>VLOOKUP(Format1!AC23,Labels!$H$3:$I$92,2,FALSE) + 100</f>
        <v>100</v>
      </c>
      <c r="AD24">
        <f>VLOOKUP(Format1!AD23,Labels!$H$3:$I$92,2,FALSE) + 100</f>
        <v>100</v>
      </c>
      <c r="AE24">
        <f>VLOOKUP(Format1!AE23,Labels!$H$3:$I$92,2,FALSE) + 100</f>
        <v>145</v>
      </c>
      <c r="AF24">
        <f>VLOOKUP(Format1!AF23,Labels!$H$3:$I$92,2,FALSE) + 100</f>
        <v>100</v>
      </c>
      <c r="AG24">
        <f>VLOOKUP(Format1!AG23,Labels!$H$3:$I$92,2,FALSE) + 100</f>
        <v>146</v>
      </c>
      <c r="AH24">
        <f>VLOOKUP(Format1!AH23,Labels!$H$3:$I$92,2,FALSE) + 100</f>
        <v>100</v>
      </c>
      <c r="AI24">
        <f>VLOOKUP(Format1!AI23,Labels!$H$3:$I$92,2,FALSE) + 100</f>
        <v>100</v>
      </c>
      <c r="AJ24">
        <f>VLOOKUP(Format1!AJ23,Labels!$H$3:$I$92,2,FALSE) + 100</f>
        <v>100</v>
      </c>
      <c r="AK24">
        <f>VLOOKUP(Format1!AK23,Labels!$H$3:$I$92,2,FALSE) + 100</f>
        <v>149</v>
      </c>
      <c r="AL24">
        <f>VLOOKUP(Format1!AL23,Labels!$H$3:$I$92,2,FALSE) + 100</f>
        <v>150</v>
      </c>
      <c r="AM24">
        <f>VLOOKUP(Format1!AM23,Labels!$H$3:$I$92,2,FALSE) + 100</f>
        <v>151</v>
      </c>
      <c r="AN24">
        <f>VLOOKUP(Format1!AN23,Labels!$H$3:$I$92,2,FALSE) + 100</f>
        <v>100</v>
      </c>
      <c r="AO24">
        <f>VLOOKUP(Format1!AO23,Labels!$H$3:$I$92,2,FALSE) + 100</f>
        <v>100</v>
      </c>
      <c r="AP24">
        <f>VLOOKUP(Format1!AP23,Labels!$H$3:$I$92,2,FALSE) + 100</f>
        <v>100</v>
      </c>
      <c r="AQ24">
        <f>VLOOKUP(Format1!AQ23,Labels!$H$3:$I$92,2,FALSE) + 100</f>
        <v>100</v>
      </c>
      <c r="AR24">
        <f>VLOOKUP(Format1!AR23,Labels!$H$3:$I$92,2,FALSE) + 100</f>
        <v>100</v>
      </c>
      <c r="AS24">
        <f>VLOOKUP(Format1!AS23,Labels!$H$3:$I$92,2,FALSE) + 100</f>
        <v>100</v>
      </c>
      <c r="AT24">
        <f>VLOOKUP(Format1!AT23,Labels!$H$3:$I$92,2,FALSE) + 100</f>
        <v>100</v>
      </c>
      <c r="AU24">
        <f>VLOOKUP(Format1!AU23,Labels!$H$3:$I$92,2,FALSE) + 100</f>
        <v>100</v>
      </c>
      <c r="AV24">
        <f>VLOOKUP(Format1!AV23,Labels!$H$3:$I$92,2,FALSE) + 100</f>
        <v>100</v>
      </c>
      <c r="AW24">
        <f>VLOOKUP(Format1!AW23,Labels!$H$3:$I$92,2,FALSE) + 100</f>
        <v>100</v>
      </c>
      <c r="AX24">
        <f>VLOOKUP(Format1!AX23,Labels!$H$3:$I$92,2,FALSE) + 100</f>
        <v>100</v>
      </c>
      <c r="AY24">
        <f>VLOOKUP(Format1!AY23,Labels!$H$3:$I$92,2,FALSE) + 100</f>
        <v>100</v>
      </c>
      <c r="AZ24">
        <f>VLOOKUP(Format1!AZ23,Labels!$H$3:$I$92,2,FALSE) + 100</f>
        <v>100</v>
      </c>
      <c r="BA24">
        <f>VLOOKUP(Format1!BA23,Labels!$H$3:$I$92,2,FALSE) + 100</f>
        <v>100</v>
      </c>
      <c r="BB24">
        <f>VLOOKUP(Format1!BB23,Labels!$H$3:$I$92,2,FALSE) + 100</f>
        <v>100</v>
      </c>
      <c r="BC24">
        <f>VLOOKUP(Format1!BC23,Labels!$H$3:$I$92,2,FALSE) + 100</f>
        <v>100</v>
      </c>
      <c r="BD24">
        <f>VLOOKUP(Format1!BD23,Labels!$H$3:$I$92,2,FALSE) + 100</f>
        <v>100</v>
      </c>
      <c r="BE24">
        <f>VLOOKUP(Format1!BE23,Labels!$H$3:$I$92,2,FALSE) + 100</f>
        <v>100</v>
      </c>
    </row>
    <row r="25" spans="1:57" x14ac:dyDescent="0.35">
      <c r="A25" t="str">
        <v>CommandsIdentifier</v>
      </c>
      <c r="B25">
        <v>23</v>
      </c>
      <c r="C25">
        <f>VLOOKUP(Format1!C24,Labels!$H$3:$I$92,2,FALSE) + 100</f>
        <v>100</v>
      </c>
      <c r="D25">
        <f>VLOOKUP(Format1!D24,Labels!$H$3:$I$92,2,FALSE) + 100</f>
        <v>100</v>
      </c>
      <c r="E25">
        <f>VLOOKUP(Format1!E24,Labels!$H$3:$I$92,2,FALSE) + 100</f>
        <v>138</v>
      </c>
      <c r="F25">
        <f>VLOOKUP(Format1!F24,Labels!$H$3:$I$92,2,FALSE) + 100</f>
        <v>100</v>
      </c>
      <c r="G25">
        <f>VLOOKUP(Format1!G24,Labels!$H$3:$I$92,2,FALSE) + 100</f>
        <v>100</v>
      </c>
      <c r="H25">
        <f>VLOOKUP(Format1!H24,Labels!$H$3:$I$92,2,FALSE) + 100</f>
        <v>100</v>
      </c>
      <c r="I25">
        <f>VLOOKUP(Format1!I24,Labels!$H$3:$I$92,2,FALSE) + 100</f>
        <v>100</v>
      </c>
      <c r="J25">
        <f>VLOOKUP(Format1!J24,Labels!$H$3:$I$92,2,FALSE) + 100</f>
        <v>139</v>
      </c>
      <c r="K25">
        <f>VLOOKUP(Format1!K24,Labels!$H$3:$I$92,2,FALSE) + 100</f>
        <v>100</v>
      </c>
      <c r="L25">
        <f>VLOOKUP(Format1!L24,Labels!$H$3:$I$92,2,FALSE) + 100</f>
        <v>100</v>
      </c>
      <c r="M25">
        <f>VLOOKUP(Format1!M24,Labels!$H$3:$I$92,2,FALSE) + 100</f>
        <v>100</v>
      </c>
      <c r="N25">
        <f>VLOOKUP(Format1!N24,Labels!$H$3:$I$92,2,FALSE) + 100</f>
        <v>100</v>
      </c>
      <c r="O25">
        <f>VLOOKUP(Format1!O24,Labels!$H$3:$I$92,2,FALSE) + 100</f>
        <v>141</v>
      </c>
      <c r="P25">
        <f>VLOOKUP(Format1!P24,Labels!$H$3:$I$92,2,FALSE) + 100</f>
        <v>100</v>
      </c>
      <c r="Q25">
        <f>VLOOKUP(Format1!Q24,Labels!$H$3:$I$92,2,FALSE) + 100</f>
        <v>100</v>
      </c>
      <c r="R25">
        <f>VLOOKUP(Format1!R24,Labels!$H$3:$I$92,2,FALSE) + 100</f>
        <v>100</v>
      </c>
      <c r="S25">
        <f>VLOOKUP(Format1!S24,Labels!$H$3:$I$92,2,FALSE) + 100</f>
        <v>100</v>
      </c>
      <c r="T25">
        <f>VLOOKUP(Format1!T24,Labels!$H$3:$I$92,2,FALSE) + 100</f>
        <v>100</v>
      </c>
      <c r="U25">
        <f>VLOOKUP(Format1!U24,Labels!$H$3:$I$92,2,FALSE) + 100</f>
        <v>100</v>
      </c>
      <c r="V25">
        <f>VLOOKUP(Format1!V24,Labels!$H$3:$I$92,2,FALSE) + 100</f>
        <v>100</v>
      </c>
      <c r="W25">
        <f>VLOOKUP(Format1!W24,Labels!$H$3:$I$92,2,FALSE) + 100</f>
        <v>100</v>
      </c>
      <c r="X25">
        <f>VLOOKUP(Format1!X24,Labels!$H$3:$I$92,2,FALSE) + 100</f>
        <v>100</v>
      </c>
      <c r="Y25">
        <f>VLOOKUP(Format1!Y24,Labels!$H$3:$I$92,2,FALSE) + 100</f>
        <v>100</v>
      </c>
      <c r="Z25">
        <f>VLOOKUP(Format1!Z24,Labels!$H$3:$I$92,2,FALSE) + 100</f>
        <v>100</v>
      </c>
      <c r="AA25">
        <f>VLOOKUP(Format1!AA24,Labels!$H$3:$I$92,2,FALSE) + 100</f>
        <v>140</v>
      </c>
      <c r="AB25">
        <f>VLOOKUP(Format1!AB24,Labels!$H$3:$I$92,2,FALSE) + 100</f>
        <v>100</v>
      </c>
      <c r="AC25">
        <f>VLOOKUP(Format1!AC24,Labels!$H$3:$I$92,2,FALSE) + 100</f>
        <v>100</v>
      </c>
      <c r="AD25">
        <f>VLOOKUP(Format1!AD24,Labels!$H$3:$I$92,2,FALSE) + 100</f>
        <v>100</v>
      </c>
      <c r="AE25">
        <f>VLOOKUP(Format1!AE24,Labels!$H$3:$I$92,2,FALSE) + 100</f>
        <v>100</v>
      </c>
      <c r="AF25">
        <f>VLOOKUP(Format1!AF24,Labels!$H$3:$I$92,2,FALSE) + 100</f>
        <v>100</v>
      </c>
      <c r="AG25">
        <f>VLOOKUP(Format1!AG24,Labels!$H$3:$I$92,2,FALSE) + 100</f>
        <v>100</v>
      </c>
      <c r="AH25">
        <f>VLOOKUP(Format1!AH24,Labels!$H$3:$I$92,2,FALSE) + 100</f>
        <v>100</v>
      </c>
      <c r="AI25">
        <f>VLOOKUP(Format1!AI24,Labels!$H$3:$I$92,2,FALSE) + 100</f>
        <v>100</v>
      </c>
      <c r="AJ25">
        <f>VLOOKUP(Format1!AJ24,Labels!$H$3:$I$92,2,FALSE) + 100</f>
        <v>100</v>
      </c>
      <c r="AK25">
        <f>VLOOKUP(Format1!AK24,Labels!$H$3:$I$92,2,FALSE) + 100</f>
        <v>100</v>
      </c>
      <c r="AL25">
        <f>VLOOKUP(Format1!AL24,Labels!$H$3:$I$92,2,FALSE) + 100</f>
        <v>100</v>
      </c>
      <c r="AM25">
        <f>VLOOKUP(Format1!AM24,Labels!$H$3:$I$92,2,FALSE) + 100</f>
        <v>100</v>
      </c>
      <c r="AN25">
        <f>VLOOKUP(Format1!AN24,Labels!$H$3:$I$92,2,FALSE) + 100</f>
        <v>100</v>
      </c>
      <c r="AO25">
        <f>VLOOKUP(Format1!AO24,Labels!$H$3:$I$92,2,FALSE) + 100</f>
        <v>100</v>
      </c>
      <c r="AP25">
        <f>VLOOKUP(Format1!AP24,Labels!$H$3:$I$92,2,FALSE) + 100</f>
        <v>100</v>
      </c>
      <c r="AQ25">
        <f>VLOOKUP(Format1!AQ24,Labels!$H$3:$I$92,2,FALSE) + 100</f>
        <v>100</v>
      </c>
      <c r="AR25">
        <f>VLOOKUP(Format1!AR24,Labels!$H$3:$I$92,2,FALSE) + 100</f>
        <v>100</v>
      </c>
      <c r="AS25">
        <f>VLOOKUP(Format1!AS24,Labels!$H$3:$I$92,2,FALSE) + 100</f>
        <v>100</v>
      </c>
      <c r="AT25">
        <f>VLOOKUP(Format1!AT24,Labels!$H$3:$I$92,2,FALSE) + 100</f>
        <v>100</v>
      </c>
      <c r="AU25">
        <f>VLOOKUP(Format1!AU24,Labels!$H$3:$I$92,2,FALSE) + 100</f>
        <v>100</v>
      </c>
      <c r="AV25">
        <f>VLOOKUP(Format1!AV24,Labels!$H$3:$I$92,2,FALSE) + 100</f>
        <v>100</v>
      </c>
      <c r="AW25">
        <f>VLOOKUP(Format1!AW24,Labels!$H$3:$I$92,2,FALSE) + 100</f>
        <v>100</v>
      </c>
      <c r="AX25">
        <f>VLOOKUP(Format1!AX24,Labels!$H$3:$I$92,2,FALSE) + 100</f>
        <v>100</v>
      </c>
      <c r="AY25">
        <f>VLOOKUP(Format1!AY24,Labels!$H$3:$I$92,2,FALSE) + 100</f>
        <v>100</v>
      </c>
      <c r="AZ25">
        <f>VLOOKUP(Format1!AZ24,Labels!$H$3:$I$92,2,FALSE) + 100</f>
        <v>100</v>
      </c>
      <c r="BA25">
        <f>VLOOKUP(Format1!BA24,Labels!$H$3:$I$92,2,FALSE) + 100</f>
        <v>100</v>
      </c>
      <c r="BB25">
        <f>VLOOKUP(Format1!BB24,Labels!$H$3:$I$92,2,FALSE) + 100</f>
        <v>100</v>
      </c>
      <c r="BC25">
        <f>VLOOKUP(Format1!BC24,Labels!$H$3:$I$92,2,FALSE) + 100</f>
        <v>100</v>
      </c>
      <c r="BD25">
        <f>VLOOKUP(Format1!BD24,Labels!$H$3:$I$92,2,FALSE) + 100</f>
        <v>100</v>
      </c>
      <c r="BE25">
        <f>VLOOKUP(Format1!BE24,Labels!$H$3:$I$92,2,FALSE) + 100</f>
        <v>100</v>
      </c>
    </row>
    <row r="26" spans="1:57" x14ac:dyDescent="0.35">
      <c r="A26" t="str">
        <v>ElseIf</v>
      </c>
      <c r="B26">
        <v>24</v>
      </c>
      <c r="C26">
        <f>VLOOKUP(Format1!C25,Labels!$H$3:$I$92,2,FALSE) + 100</f>
        <v>100</v>
      </c>
      <c r="D26">
        <f>VLOOKUP(Format1!D25,Labels!$H$3:$I$92,2,FALSE) + 100</f>
        <v>100</v>
      </c>
      <c r="E26">
        <f>VLOOKUP(Format1!E25,Labels!$H$3:$I$92,2,FALSE) + 100</f>
        <v>100</v>
      </c>
      <c r="F26">
        <f>VLOOKUP(Format1!F25,Labels!$H$3:$I$92,2,FALSE) + 100</f>
        <v>100</v>
      </c>
      <c r="G26">
        <f>VLOOKUP(Format1!G25,Labels!$H$3:$I$92,2,FALSE) + 100</f>
        <v>100</v>
      </c>
      <c r="H26">
        <f>VLOOKUP(Format1!H25,Labels!$H$3:$I$92,2,FALSE) + 100</f>
        <v>100</v>
      </c>
      <c r="I26">
        <f>VLOOKUP(Format1!I25,Labels!$H$3:$I$92,2,FALSE) + 100</f>
        <v>100</v>
      </c>
      <c r="J26">
        <f>VLOOKUP(Format1!J25,Labels!$H$3:$I$92,2,FALSE) + 100</f>
        <v>100</v>
      </c>
      <c r="K26">
        <f>VLOOKUP(Format1!K25,Labels!$H$3:$I$92,2,FALSE) + 100</f>
        <v>100</v>
      </c>
      <c r="L26">
        <f>VLOOKUP(Format1!L25,Labels!$H$3:$I$92,2,FALSE) + 100</f>
        <v>100</v>
      </c>
      <c r="M26">
        <f>VLOOKUP(Format1!M25,Labels!$H$3:$I$92,2,FALSE) + 100</f>
        <v>100</v>
      </c>
      <c r="N26">
        <f>VLOOKUP(Format1!N25,Labels!$H$3:$I$92,2,FALSE) + 100</f>
        <v>100</v>
      </c>
      <c r="O26">
        <f>VLOOKUP(Format1!O25,Labels!$H$3:$I$92,2,FALSE) + 100</f>
        <v>100</v>
      </c>
      <c r="P26">
        <f>VLOOKUP(Format1!P25,Labels!$H$3:$I$92,2,FALSE) + 100</f>
        <v>100</v>
      </c>
      <c r="Q26">
        <f>VLOOKUP(Format1!Q25,Labels!$H$3:$I$92,2,FALSE) + 100</f>
        <v>100</v>
      </c>
      <c r="R26">
        <f>VLOOKUP(Format1!R25,Labels!$H$3:$I$92,2,FALSE) + 100</f>
        <v>100</v>
      </c>
      <c r="S26">
        <f>VLOOKUP(Format1!S25,Labels!$H$3:$I$92,2,FALSE) + 100</f>
        <v>100</v>
      </c>
      <c r="T26">
        <f>VLOOKUP(Format1!T25,Labels!$H$3:$I$92,2,FALSE) + 100</f>
        <v>100</v>
      </c>
      <c r="U26">
        <f>VLOOKUP(Format1!U25,Labels!$H$3:$I$92,2,FALSE) + 100</f>
        <v>100</v>
      </c>
      <c r="V26">
        <f>VLOOKUP(Format1!V25,Labels!$H$3:$I$92,2,FALSE) + 100</f>
        <v>100</v>
      </c>
      <c r="W26">
        <f>VLOOKUP(Format1!W25,Labels!$H$3:$I$92,2,FALSE) + 100</f>
        <v>100</v>
      </c>
      <c r="X26">
        <f>VLOOKUP(Format1!X25,Labels!$H$3:$I$92,2,FALSE) + 100</f>
        <v>100</v>
      </c>
      <c r="Y26">
        <f>VLOOKUP(Format1!Y25,Labels!$H$3:$I$92,2,FALSE) + 100</f>
        <v>100</v>
      </c>
      <c r="Z26">
        <f>VLOOKUP(Format1!Z25,Labels!$H$3:$I$92,2,FALSE) + 100</f>
        <v>144</v>
      </c>
      <c r="AA26">
        <f>VLOOKUP(Format1!AA25,Labels!$H$3:$I$92,2,FALSE) + 100</f>
        <v>100</v>
      </c>
      <c r="AB26">
        <f>VLOOKUP(Format1!AB25,Labels!$H$3:$I$92,2,FALSE) + 100</f>
        <v>100</v>
      </c>
      <c r="AC26">
        <f>VLOOKUP(Format1!AC25,Labels!$H$3:$I$92,2,FALSE) + 100</f>
        <v>100</v>
      </c>
      <c r="AD26">
        <f>VLOOKUP(Format1!AD25,Labels!$H$3:$I$92,2,FALSE) + 100</f>
        <v>143</v>
      </c>
      <c r="AE26">
        <f>VLOOKUP(Format1!AE25,Labels!$H$3:$I$92,2,FALSE) + 100</f>
        <v>100</v>
      </c>
      <c r="AF26">
        <f>VLOOKUP(Format1!AF25,Labels!$H$3:$I$92,2,FALSE) + 100</f>
        <v>100</v>
      </c>
      <c r="AG26">
        <f>VLOOKUP(Format1!AG25,Labels!$H$3:$I$92,2,FALSE) + 100</f>
        <v>100</v>
      </c>
      <c r="AH26">
        <f>VLOOKUP(Format1!AH25,Labels!$H$3:$I$92,2,FALSE) + 100</f>
        <v>100</v>
      </c>
      <c r="AI26">
        <f>VLOOKUP(Format1!AI25,Labels!$H$3:$I$92,2,FALSE) + 100</f>
        <v>100</v>
      </c>
      <c r="AJ26">
        <f>VLOOKUP(Format1!AJ25,Labels!$H$3:$I$92,2,FALSE) + 100</f>
        <v>100</v>
      </c>
      <c r="AK26">
        <f>VLOOKUP(Format1!AK25,Labels!$H$3:$I$92,2,FALSE) + 100</f>
        <v>100</v>
      </c>
      <c r="AL26">
        <f>VLOOKUP(Format1!AL25,Labels!$H$3:$I$92,2,FALSE) + 100</f>
        <v>100</v>
      </c>
      <c r="AM26">
        <f>VLOOKUP(Format1!AM25,Labels!$H$3:$I$92,2,FALSE) + 100</f>
        <v>100</v>
      </c>
      <c r="AN26">
        <f>VLOOKUP(Format1!AN25,Labels!$H$3:$I$92,2,FALSE) + 100</f>
        <v>100</v>
      </c>
      <c r="AO26">
        <f>VLOOKUP(Format1!AO25,Labels!$H$3:$I$92,2,FALSE) + 100</f>
        <v>100</v>
      </c>
      <c r="AP26">
        <f>VLOOKUP(Format1!AP25,Labels!$H$3:$I$92,2,FALSE) + 100</f>
        <v>100</v>
      </c>
      <c r="AQ26">
        <f>VLOOKUP(Format1!AQ25,Labels!$H$3:$I$92,2,FALSE) + 100</f>
        <v>100</v>
      </c>
      <c r="AR26">
        <f>VLOOKUP(Format1!AR25,Labels!$H$3:$I$92,2,FALSE) + 100</f>
        <v>100</v>
      </c>
      <c r="AS26">
        <f>VLOOKUP(Format1!AS25,Labels!$H$3:$I$92,2,FALSE) + 100</f>
        <v>100</v>
      </c>
      <c r="AT26">
        <f>VLOOKUP(Format1!AT25,Labels!$H$3:$I$92,2,FALSE) + 100</f>
        <v>100</v>
      </c>
      <c r="AU26">
        <f>VLOOKUP(Format1!AU25,Labels!$H$3:$I$92,2,FALSE) + 100</f>
        <v>100</v>
      </c>
      <c r="AV26">
        <f>VLOOKUP(Format1!AV25,Labels!$H$3:$I$92,2,FALSE) + 100</f>
        <v>100</v>
      </c>
      <c r="AW26">
        <f>VLOOKUP(Format1!AW25,Labels!$H$3:$I$92,2,FALSE) + 100</f>
        <v>100</v>
      </c>
      <c r="AX26">
        <f>VLOOKUP(Format1!AX25,Labels!$H$3:$I$92,2,FALSE) + 100</f>
        <v>100</v>
      </c>
      <c r="AY26">
        <f>VLOOKUP(Format1!AY25,Labels!$H$3:$I$92,2,FALSE) + 100</f>
        <v>100</v>
      </c>
      <c r="AZ26">
        <f>VLOOKUP(Format1!AZ25,Labels!$H$3:$I$92,2,FALSE) + 100</f>
        <v>100</v>
      </c>
      <c r="BA26">
        <f>VLOOKUP(Format1!BA25,Labels!$H$3:$I$92,2,FALSE) + 100</f>
        <v>100</v>
      </c>
      <c r="BB26">
        <f>VLOOKUP(Format1!BB25,Labels!$H$3:$I$92,2,FALSE) + 100</f>
        <v>100</v>
      </c>
      <c r="BC26">
        <f>VLOOKUP(Format1!BC25,Labels!$H$3:$I$92,2,FALSE) + 100</f>
        <v>100</v>
      </c>
      <c r="BD26">
        <f>VLOOKUP(Format1!BD25,Labels!$H$3:$I$92,2,FALSE) + 100</f>
        <v>100</v>
      </c>
      <c r="BE26">
        <f>VLOOKUP(Format1!BE25,Labels!$H$3:$I$92,2,FALSE) + 100</f>
        <v>100</v>
      </c>
    </row>
    <row r="27" spans="1:57" x14ac:dyDescent="0.35">
      <c r="A27" t="str">
        <v>StepFor</v>
      </c>
      <c r="B27">
        <v>25</v>
      </c>
      <c r="C27">
        <f>VLOOKUP(Format1!C26,Labels!$H$3:$I$92,2,FALSE) + 100</f>
        <v>100</v>
      </c>
      <c r="D27">
        <f>VLOOKUP(Format1!D26,Labels!$H$3:$I$92,2,FALSE) + 100</f>
        <v>100</v>
      </c>
      <c r="E27">
        <f>VLOOKUP(Format1!E26,Labels!$H$3:$I$92,2,FALSE) + 100</f>
        <v>100</v>
      </c>
      <c r="F27">
        <f>VLOOKUP(Format1!F26,Labels!$H$3:$I$92,2,FALSE) + 100</f>
        <v>100</v>
      </c>
      <c r="G27">
        <f>VLOOKUP(Format1!G26,Labels!$H$3:$I$92,2,FALSE) + 100</f>
        <v>100</v>
      </c>
      <c r="H27">
        <f>VLOOKUP(Format1!H26,Labels!$H$3:$I$92,2,FALSE) + 100</f>
        <v>100</v>
      </c>
      <c r="I27">
        <f>VLOOKUP(Format1!I26,Labels!$H$3:$I$92,2,FALSE) + 100</f>
        <v>100</v>
      </c>
      <c r="J27">
        <f>VLOOKUP(Format1!J26,Labels!$H$3:$I$92,2,FALSE) + 100</f>
        <v>100</v>
      </c>
      <c r="K27">
        <f>VLOOKUP(Format1!K26,Labels!$H$3:$I$92,2,FALSE) + 100</f>
        <v>100</v>
      </c>
      <c r="L27">
        <f>VLOOKUP(Format1!L26,Labels!$H$3:$I$92,2,FALSE) + 100</f>
        <v>100</v>
      </c>
      <c r="M27">
        <f>VLOOKUP(Format1!M26,Labels!$H$3:$I$92,2,FALSE) + 100</f>
        <v>100</v>
      </c>
      <c r="N27">
        <f>VLOOKUP(Format1!N26,Labels!$H$3:$I$92,2,FALSE) + 100</f>
        <v>100</v>
      </c>
      <c r="O27">
        <f>VLOOKUP(Format1!O26,Labels!$H$3:$I$92,2,FALSE) + 100</f>
        <v>100</v>
      </c>
      <c r="P27">
        <f>VLOOKUP(Format1!P26,Labels!$H$3:$I$92,2,FALSE) + 100</f>
        <v>100</v>
      </c>
      <c r="Q27">
        <f>VLOOKUP(Format1!Q26,Labels!$H$3:$I$92,2,FALSE) + 100</f>
        <v>100</v>
      </c>
      <c r="R27">
        <f>VLOOKUP(Format1!R26,Labels!$H$3:$I$92,2,FALSE) + 100</f>
        <v>100</v>
      </c>
      <c r="S27">
        <f>VLOOKUP(Format1!S26,Labels!$H$3:$I$92,2,FALSE) + 100</f>
        <v>100</v>
      </c>
      <c r="T27">
        <f>VLOOKUP(Format1!T26,Labels!$H$3:$I$92,2,FALSE) + 100</f>
        <v>100</v>
      </c>
      <c r="U27">
        <f>VLOOKUP(Format1!U26,Labels!$H$3:$I$92,2,FALSE) + 100</f>
        <v>100</v>
      </c>
      <c r="V27">
        <f>VLOOKUP(Format1!V26,Labels!$H$3:$I$92,2,FALSE) + 100</f>
        <v>100</v>
      </c>
      <c r="W27">
        <f>VLOOKUP(Format1!W26,Labels!$H$3:$I$92,2,FALSE) + 100</f>
        <v>100</v>
      </c>
      <c r="X27">
        <f>VLOOKUP(Format1!X26,Labels!$H$3:$I$92,2,FALSE) + 100</f>
        <v>100</v>
      </c>
      <c r="Y27">
        <f>VLOOKUP(Format1!Y26,Labels!$H$3:$I$92,2,FALSE) + 100</f>
        <v>100</v>
      </c>
      <c r="Z27">
        <f>VLOOKUP(Format1!Z26,Labels!$H$3:$I$92,2,FALSE) + 100</f>
        <v>100</v>
      </c>
      <c r="AA27">
        <f>VLOOKUP(Format1!AA26,Labels!$H$3:$I$92,2,FALSE) + 100</f>
        <v>100</v>
      </c>
      <c r="AB27">
        <f>VLOOKUP(Format1!AB26,Labels!$H$3:$I$92,2,FALSE) + 100</f>
        <v>100</v>
      </c>
      <c r="AC27">
        <f>VLOOKUP(Format1!AC26,Labels!$H$3:$I$92,2,FALSE) + 100</f>
        <v>100</v>
      </c>
      <c r="AD27">
        <f>VLOOKUP(Format1!AD26,Labels!$H$3:$I$92,2,FALSE) + 100</f>
        <v>100</v>
      </c>
      <c r="AE27">
        <f>VLOOKUP(Format1!AE26,Labels!$H$3:$I$92,2,FALSE) + 100</f>
        <v>100</v>
      </c>
      <c r="AF27">
        <f>VLOOKUP(Format1!AF26,Labels!$H$3:$I$92,2,FALSE) + 100</f>
        <v>148</v>
      </c>
      <c r="AG27">
        <f>VLOOKUP(Format1!AG26,Labels!$H$3:$I$92,2,FALSE) + 100</f>
        <v>100</v>
      </c>
      <c r="AH27">
        <f>VLOOKUP(Format1!AH26,Labels!$H$3:$I$92,2,FALSE) + 100</f>
        <v>100</v>
      </c>
      <c r="AI27">
        <f>VLOOKUP(Format1!AI26,Labels!$H$3:$I$92,2,FALSE) + 100</f>
        <v>100</v>
      </c>
      <c r="AJ27">
        <f>VLOOKUP(Format1!AJ26,Labels!$H$3:$I$92,2,FALSE) + 100</f>
        <v>147</v>
      </c>
      <c r="AK27">
        <f>VLOOKUP(Format1!AK26,Labels!$H$3:$I$92,2,FALSE) + 100</f>
        <v>100</v>
      </c>
      <c r="AL27">
        <f>VLOOKUP(Format1!AL26,Labels!$H$3:$I$92,2,FALSE) + 100</f>
        <v>100</v>
      </c>
      <c r="AM27">
        <f>VLOOKUP(Format1!AM26,Labels!$H$3:$I$92,2,FALSE) + 100</f>
        <v>100</v>
      </c>
      <c r="AN27">
        <f>VLOOKUP(Format1!AN26,Labels!$H$3:$I$92,2,FALSE) + 100</f>
        <v>100</v>
      </c>
      <c r="AO27">
        <f>VLOOKUP(Format1!AO26,Labels!$H$3:$I$92,2,FALSE) + 100</f>
        <v>100</v>
      </c>
      <c r="AP27">
        <f>VLOOKUP(Format1!AP26,Labels!$H$3:$I$92,2,FALSE) + 100</f>
        <v>100</v>
      </c>
      <c r="AQ27">
        <f>VLOOKUP(Format1!AQ26,Labels!$H$3:$I$92,2,FALSE) + 100</f>
        <v>100</v>
      </c>
      <c r="AR27">
        <f>VLOOKUP(Format1!AR26,Labels!$H$3:$I$92,2,FALSE) + 100</f>
        <v>100</v>
      </c>
      <c r="AS27">
        <f>VLOOKUP(Format1!AS26,Labels!$H$3:$I$92,2,FALSE) + 100</f>
        <v>100</v>
      </c>
      <c r="AT27">
        <f>VLOOKUP(Format1!AT26,Labels!$H$3:$I$92,2,FALSE) + 100</f>
        <v>100</v>
      </c>
      <c r="AU27">
        <f>VLOOKUP(Format1!AU26,Labels!$H$3:$I$92,2,FALSE) + 100</f>
        <v>100</v>
      </c>
      <c r="AV27">
        <f>VLOOKUP(Format1!AV26,Labels!$H$3:$I$92,2,FALSE) + 100</f>
        <v>100</v>
      </c>
      <c r="AW27">
        <f>VLOOKUP(Format1!AW26,Labels!$H$3:$I$92,2,FALSE) + 100</f>
        <v>100</v>
      </c>
      <c r="AX27">
        <f>VLOOKUP(Format1!AX26,Labels!$H$3:$I$92,2,FALSE) + 100</f>
        <v>100</v>
      </c>
      <c r="AY27">
        <f>VLOOKUP(Format1!AY26,Labels!$H$3:$I$92,2,FALSE) + 100</f>
        <v>100</v>
      </c>
      <c r="AZ27">
        <f>VLOOKUP(Format1!AZ26,Labels!$H$3:$I$92,2,FALSE) + 100</f>
        <v>100</v>
      </c>
      <c r="BA27">
        <f>VLOOKUP(Format1!BA26,Labels!$H$3:$I$92,2,FALSE) + 100</f>
        <v>100</v>
      </c>
      <c r="BB27">
        <f>VLOOKUP(Format1!BB26,Labels!$H$3:$I$92,2,FALSE) + 100</f>
        <v>100</v>
      </c>
      <c r="BC27">
        <f>VLOOKUP(Format1!BC26,Labels!$H$3:$I$92,2,FALSE) + 100</f>
        <v>100</v>
      </c>
      <c r="BD27">
        <f>VLOOKUP(Format1!BD26,Labels!$H$3:$I$92,2,FALSE) + 100</f>
        <v>100</v>
      </c>
      <c r="BE27">
        <f>VLOOKUP(Format1!BE26,Labels!$H$3:$I$92,2,FALSE) + 100</f>
        <v>100</v>
      </c>
    </row>
    <row r="28" spans="1:57" x14ac:dyDescent="0.35">
      <c r="A28" t="str">
        <v>Expressao</v>
      </c>
      <c r="B28">
        <v>26</v>
      </c>
      <c r="C28">
        <f>VLOOKUP(Format1!C27,Labels!$H$3:$I$92,2,FALSE) + 100</f>
        <v>100</v>
      </c>
      <c r="D28">
        <f>VLOOKUP(Format1!D27,Labels!$H$3:$I$92,2,FALSE) + 100</f>
        <v>152</v>
      </c>
      <c r="E28">
        <f>VLOOKUP(Format1!E27,Labels!$H$3:$I$92,2,FALSE) + 100</f>
        <v>152</v>
      </c>
      <c r="F28">
        <f>VLOOKUP(Format1!F27,Labels!$H$3:$I$92,2,FALSE) + 100</f>
        <v>100</v>
      </c>
      <c r="G28">
        <f>VLOOKUP(Format1!G27,Labels!$H$3:$I$92,2,FALSE) + 100</f>
        <v>100</v>
      </c>
      <c r="H28">
        <f>VLOOKUP(Format1!H27,Labels!$H$3:$I$92,2,FALSE) + 100</f>
        <v>100</v>
      </c>
      <c r="I28">
        <f>VLOOKUP(Format1!I27,Labels!$H$3:$I$92,2,FALSE) + 100</f>
        <v>100</v>
      </c>
      <c r="J28">
        <f>VLOOKUP(Format1!J27,Labels!$H$3:$I$92,2,FALSE) + 100</f>
        <v>152</v>
      </c>
      <c r="K28">
        <f>VLOOKUP(Format1!K27,Labels!$H$3:$I$92,2,FALSE) + 100</f>
        <v>152</v>
      </c>
      <c r="L28">
        <f>VLOOKUP(Format1!L27,Labels!$H$3:$I$92,2,FALSE) + 100</f>
        <v>100</v>
      </c>
      <c r="M28">
        <f>VLOOKUP(Format1!M27,Labels!$H$3:$I$92,2,FALSE) + 100</f>
        <v>100</v>
      </c>
      <c r="N28">
        <f>VLOOKUP(Format1!N27,Labels!$H$3:$I$92,2,FALSE) + 100</f>
        <v>152</v>
      </c>
      <c r="O28">
        <f>VLOOKUP(Format1!O27,Labels!$H$3:$I$92,2,FALSE) + 100</f>
        <v>100</v>
      </c>
      <c r="P28">
        <f>VLOOKUP(Format1!P27,Labels!$H$3:$I$92,2,FALSE) + 100</f>
        <v>152</v>
      </c>
      <c r="Q28">
        <f>VLOOKUP(Format1!Q27,Labels!$H$3:$I$92,2,FALSE) + 100</f>
        <v>152</v>
      </c>
      <c r="R28">
        <f>VLOOKUP(Format1!R27,Labels!$H$3:$I$92,2,FALSE) + 100</f>
        <v>100</v>
      </c>
      <c r="S28">
        <f>VLOOKUP(Format1!S27,Labels!$H$3:$I$92,2,FALSE) + 100</f>
        <v>100</v>
      </c>
      <c r="T28">
        <f>VLOOKUP(Format1!T27,Labels!$H$3:$I$92,2,FALSE) + 100</f>
        <v>152</v>
      </c>
      <c r="U28">
        <f>VLOOKUP(Format1!U27,Labels!$H$3:$I$92,2,FALSE) + 100</f>
        <v>100</v>
      </c>
      <c r="V28">
        <f>VLOOKUP(Format1!V27,Labels!$H$3:$I$92,2,FALSE) + 100</f>
        <v>100</v>
      </c>
      <c r="W28">
        <f>VLOOKUP(Format1!W27,Labels!$H$3:$I$92,2,FALSE) + 100</f>
        <v>100</v>
      </c>
      <c r="X28">
        <f>VLOOKUP(Format1!X27,Labels!$H$3:$I$92,2,FALSE) + 100</f>
        <v>100</v>
      </c>
      <c r="Y28">
        <f>VLOOKUP(Format1!Y27,Labels!$H$3:$I$92,2,FALSE) + 100</f>
        <v>100</v>
      </c>
      <c r="Z28">
        <f>VLOOKUP(Format1!Z27,Labels!$H$3:$I$92,2,FALSE) + 100</f>
        <v>100</v>
      </c>
      <c r="AA28">
        <f>VLOOKUP(Format1!AA27,Labels!$H$3:$I$92,2,FALSE) + 100</f>
        <v>100</v>
      </c>
      <c r="AB28">
        <f>VLOOKUP(Format1!AB27,Labels!$H$3:$I$92,2,FALSE) + 100</f>
        <v>100</v>
      </c>
      <c r="AC28">
        <f>VLOOKUP(Format1!AC27,Labels!$H$3:$I$92,2,FALSE) + 100</f>
        <v>152</v>
      </c>
      <c r="AD28">
        <f>VLOOKUP(Format1!AD27,Labels!$H$3:$I$92,2,FALSE) + 100</f>
        <v>100</v>
      </c>
      <c r="AE28">
        <f>VLOOKUP(Format1!AE27,Labels!$H$3:$I$92,2,FALSE) + 100</f>
        <v>100</v>
      </c>
      <c r="AF28">
        <f>VLOOKUP(Format1!AF27,Labels!$H$3:$I$92,2,FALSE) + 100</f>
        <v>152</v>
      </c>
      <c r="AG28">
        <f>VLOOKUP(Format1!AG27,Labels!$H$3:$I$92,2,FALSE) + 100</f>
        <v>100</v>
      </c>
      <c r="AH28">
        <f>VLOOKUP(Format1!AH27,Labels!$H$3:$I$92,2,FALSE) + 100</f>
        <v>100</v>
      </c>
      <c r="AI28">
        <f>VLOOKUP(Format1!AI27,Labels!$H$3:$I$92,2,FALSE) + 100</f>
        <v>152</v>
      </c>
      <c r="AJ28">
        <f>VLOOKUP(Format1!AJ27,Labels!$H$3:$I$92,2,FALSE) + 100</f>
        <v>152</v>
      </c>
      <c r="AK28">
        <f>VLOOKUP(Format1!AK27,Labels!$H$3:$I$92,2,FALSE) + 100</f>
        <v>100</v>
      </c>
      <c r="AL28">
        <f>VLOOKUP(Format1!AL27,Labels!$H$3:$I$92,2,FALSE) + 100</f>
        <v>100</v>
      </c>
      <c r="AM28">
        <f>VLOOKUP(Format1!AM27,Labels!$H$3:$I$92,2,FALSE) + 100</f>
        <v>100</v>
      </c>
      <c r="AN28">
        <f>VLOOKUP(Format1!AN27,Labels!$H$3:$I$92,2,FALSE) + 100</f>
        <v>152</v>
      </c>
      <c r="AO28">
        <f>VLOOKUP(Format1!AO27,Labels!$H$3:$I$92,2,FALSE) + 100</f>
        <v>152</v>
      </c>
      <c r="AP28">
        <f>VLOOKUP(Format1!AP27,Labels!$H$3:$I$92,2,FALSE) + 100</f>
        <v>152</v>
      </c>
      <c r="AQ28">
        <f>VLOOKUP(Format1!AQ27,Labels!$H$3:$I$92,2,FALSE) + 100</f>
        <v>152</v>
      </c>
      <c r="AR28">
        <f>VLOOKUP(Format1!AR27,Labels!$H$3:$I$92,2,FALSE) + 100</f>
        <v>152</v>
      </c>
      <c r="AS28">
        <f>VLOOKUP(Format1!AS27,Labels!$H$3:$I$92,2,FALSE) + 100</f>
        <v>152</v>
      </c>
      <c r="AT28">
        <f>VLOOKUP(Format1!AT27,Labels!$H$3:$I$92,2,FALSE) + 100</f>
        <v>152</v>
      </c>
      <c r="AU28">
        <f>VLOOKUP(Format1!AU27,Labels!$H$3:$I$92,2,FALSE) + 100</f>
        <v>100</v>
      </c>
      <c r="AV28">
        <f>VLOOKUP(Format1!AV27,Labels!$H$3:$I$92,2,FALSE) + 100</f>
        <v>100</v>
      </c>
      <c r="AW28">
        <f>VLOOKUP(Format1!AW27,Labels!$H$3:$I$92,2,FALSE) + 100</f>
        <v>100</v>
      </c>
      <c r="AX28">
        <f>VLOOKUP(Format1!AX27,Labels!$H$3:$I$92,2,FALSE) + 100</f>
        <v>100</v>
      </c>
      <c r="AY28">
        <f>VLOOKUP(Format1!AY27,Labels!$H$3:$I$92,2,FALSE) + 100</f>
        <v>100</v>
      </c>
      <c r="AZ28">
        <f>VLOOKUP(Format1!AZ27,Labels!$H$3:$I$92,2,FALSE) + 100</f>
        <v>152</v>
      </c>
      <c r="BA28">
        <f>VLOOKUP(Format1!BA27,Labels!$H$3:$I$92,2,FALSE) + 100</f>
        <v>152</v>
      </c>
      <c r="BB28">
        <f>VLOOKUP(Format1!BB27,Labels!$H$3:$I$92,2,FALSE) + 100</f>
        <v>152</v>
      </c>
      <c r="BC28">
        <f>VLOOKUP(Format1!BC27,Labels!$H$3:$I$92,2,FALSE) + 100</f>
        <v>152</v>
      </c>
      <c r="BD28">
        <f>VLOOKUP(Format1!BD27,Labels!$H$3:$I$92,2,FALSE) + 100</f>
        <v>152</v>
      </c>
      <c r="BE28">
        <f>VLOOKUP(Format1!BE27,Labels!$H$3:$I$92,2,FALSE) + 100</f>
        <v>100</v>
      </c>
    </row>
    <row r="29" spans="1:57" x14ac:dyDescent="0.35">
      <c r="A29" t="str">
        <v>ExpressaoNew</v>
      </c>
      <c r="B29">
        <v>27</v>
      </c>
      <c r="C29">
        <f>VLOOKUP(Format1!C28,Labels!$H$3:$I$92,2,FALSE) + 100</f>
        <v>100</v>
      </c>
      <c r="D29">
        <f>VLOOKUP(Format1!D28,Labels!$H$3:$I$92,2,FALSE) + 100</f>
        <v>100</v>
      </c>
      <c r="E29">
        <f>VLOOKUP(Format1!E28,Labels!$H$3:$I$92,2,FALSE) + 100</f>
        <v>159</v>
      </c>
      <c r="F29">
        <f>VLOOKUP(Format1!F28,Labels!$H$3:$I$92,2,FALSE) + 100</f>
        <v>100</v>
      </c>
      <c r="G29">
        <f>VLOOKUP(Format1!G28,Labels!$H$3:$I$92,2,FALSE) + 100</f>
        <v>100</v>
      </c>
      <c r="H29">
        <f>VLOOKUP(Format1!H28,Labels!$H$3:$I$92,2,FALSE) + 100</f>
        <v>100</v>
      </c>
      <c r="I29">
        <f>VLOOKUP(Format1!I28,Labels!$H$3:$I$92,2,FALSE) + 100</f>
        <v>100</v>
      </c>
      <c r="J29">
        <f>VLOOKUP(Format1!J28,Labels!$H$3:$I$92,2,FALSE) + 100</f>
        <v>100</v>
      </c>
      <c r="K29">
        <f>VLOOKUP(Format1!K28,Labels!$H$3:$I$92,2,FALSE) + 100</f>
        <v>159</v>
      </c>
      <c r="L29">
        <f>VLOOKUP(Format1!L28,Labels!$H$3:$I$92,2,FALSE) + 100</f>
        <v>100</v>
      </c>
      <c r="M29">
        <f>VLOOKUP(Format1!M28,Labels!$H$3:$I$92,2,FALSE) + 100</f>
        <v>100</v>
      </c>
      <c r="N29">
        <f>VLOOKUP(Format1!N28,Labels!$H$3:$I$92,2,FALSE) + 100</f>
        <v>153</v>
      </c>
      <c r="O29">
        <f>VLOOKUP(Format1!O28,Labels!$H$3:$I$92,2,FALSE) + 100</f>
        <v>100</v>
      </c>
      <c r="P29">
        <f>VLOOKUP(Format1!P28,Labels!$H$3:$I$92,2,FALSE) + 100</f>
        <v>159</v>
      </c>
      <c r="Q29">
        <f>VLOOKUP(Format1!Q28,Labels!$H$3:$I$92,2,FALSE) + 100</f>
        <v>159</v>
      </c>
      <c r="R29">
        <f>VLOOKUP(Format1!R28,Labels!$H$3:$I$92,2,FALSE) + 100</f>
        <v>100</v>
      </c>
      <c r="S29">
        <f>VLOOKUP(Format1!S28,Labels!$H$3:$I$92,2,FALSE) + 100</f>
        <v>100</v>
      </c>
      <c r="T29">
        <f>VLOOKUP(Format1!T28,Labels!$H$3:$I$92,2,FALSE) + 100</f>
        <v>100</v>
      </c>
      <c r="U29">
        <f>VLOOKUP(Format1!U28,Labels!$H$3:$I$92,2,FALSE) + 100</f>
        <v>100</v>
      </c>
      <c r="V29">
        <f>VLOOKUP(Format1!V28,Labels!$H$3:$I$92,2,FALSE) + 100</f>
        <v>100</v>
      </c>
      <c r="W29">
        <f>VLOOKUP(Format1!W28,Labels!$H$3:$I$92,2,FALSE) + 100</f>
        <v>100</v>
      </c>
      <c r="X29">
        <f>VLOOKUP(Format1!X28,Labels!$H$3:$I$92,2,FALSE) + 100</f>
        <v>100</v>
      </c>
      <c r="Y29">
        <f>VLOOKUP(Format1!Y28,Labels!$H$3:$I$92,2,FALSE) + 100</f>
        <v>100</v>
      </c>
      <c r="Z29">
        <f>VLOOKUP(Format1!Z28,Labels!$H$3:$I$92,2,FALSE) + 100</f>
        <v>100</v>
      </c>
      <c r="AA29">
        <f>VLOOKUP(Format1!AA28,Labels!$H$3:$I$92,2,FALSE) + 100</f>
        <v>100</v>
      </c>
      <c r="AB29">
        <f>VLOOKUP(Format1!AB28,Labels!$H$3:$I$92,2,FALSE) + 100</f>
        <v>100</v>
      </c>
      <c r="AC29">
        <f>VLOOKUP(Format1!AC28,Labels!$H$3:$I$92,2,FALSE) + 100</f>
        <v>159</v>
      </c>
      <c r="AD29">
        <f>VLOOKUP(Format1!AD28,Labels!$H$3:$I$92,2,FALSE) + 100</f>
        <v>100</v>
      </c>
      <c r="AE29">
        <f>VLOOKUP(Format1!AE28,Labels!$H$3:$I$92,2,FALSE) + 100</f>
        <v>100</v>
      </c>
      <c r="AF29">
        <f>VLOOKUP(Format1!AF28,Labels!$H$3:$I$92,2,FALSE) + 100</f>
        <v>159</v>
      </c>
      <c r="AG29">
        <f>VLOOKUP(Format1!AG28,Labels!$H$3:$I$92,2,FALSE) + 100</f>
        <v>100</v>
      </c>
      <c r="AH29">
        <f>VLOOKUP(Format1!AH28,Labels!$H$3:$I$92,2,FALSE) + 100</f>
        <v>100</v>
      </c>
      <c r="AI29">
        <f>VLOOKUP(Format1!AI28,Labels!$H$3:$I$92,2,FALSE) + 100</f>
        <v>159</v>
      </c>
      <c r="AJ29">
        <f>VLOOKUP(Format1!AJ28,Labels!$H$3:$I$92,2,FALSE) + 100</f>
        <v>159</v>
      </c>
      <c r="AK29">
        <f>VLOOKUP(Format1!AK28,Labels!$H$3:$I$92,2,FALSE) + 100</f>
        <v>100</v>
      </c>
      <c r="AL29">
        <f>VLOOKUP(Format1!AL28,Labels!$H$3:$I$92,2,FALSE) + 100</f>
        <v>100</v>
      </c>
      <c r="AM29">
        <f>VLOOKUP(Format1!AM28,Labels!$H$3:$I$92,2,FALSE) + 100</f>
        <v>100</v>
      </c>
      <c r="AN29">
        <f>VLOOKUP(Format1!AN28,Labels!$H$3:$I$92,2,FALSE) + 100</f>
        <v>154</v>
      </c>
      <c r="AO29">
        <f>VLOOKUP(Format1!AO28,Labels!$H$3:$I$92,2,FALSE) + 100</f>
        <v>155</v>
      </c>
      <c r="AP29">
        <f>VLOOKUP(Format1!AP28,Labels!$H$3:$I$92,2,FALSE) + 100</f>
        <v>156</v>
      </c>
      <c r="AQ29">
        <f>VLOOKUP(Format1!AQ28,Labels!$H$3:$I$92,2,FALSE) + 100</f>
        <v>157</v>
      </c>
      <c r="AR29">
        <f>VLOOKUP(Format1!AR28,Labels!$H$3:$I$92,2,FALSE) + 100</f>
        <v>158</v>
      </c>
      <c r="AS29">
        <f>VLOOKUP(Format1!AS28,Labels!$H$3:$I$92,2,FALSE) + 100</f>
        <v>100</v>
      </c>
      <c r="AT29">
        <f>VLOOKUP(Format1!AT28,Labels!$H$3:$I$92,2,FALSE) + 100</f>
        <v>100</v>
      </c>
      <c r="AU29">
        <f>VLOOKUP(Format1!AU28,Labels!$H$3:$I$92,2,FALSE) + 100</f>
        <v>100</v>
      </c>
      <c r="AV29">
        <f>VLOOKUP(Format1!AV28,Labels!$H$3:$I$92,2,FALSE) + 100</f>
        <v>100</v>
      </c>
      <c r="AW29">
        <f>VLOOKUP(Format1!AW28,Labels!$H$3:$I$92,2,FALSE) + 100</f>
        <v>100</v>
      </c>
      <c r="AX29">
        <f>VLOOKUP(Format1!AX28,Labels!$H$3:$I$92,2,FALSE) + 100</f>
        <v>100</v>
      </c>
      <c r="AY29">
        <f>VLOOKUP(Format1!AY28,Labels!$H$3:$I$92,2,FALSE) + 100</f>
        <v>100</v>
      </c>
      <c r="AZ29">
        <f>VLOOKUP(Format1!AZ28,Labels!$H$3:$I$92,2,FALSE) + 100</f>
        <v>100</v>
      </c>
      <c r="BA29">
        <f>VLOOKUP(Format1!BA28,Labels!$H$3:$I$92,2,FALSE) + 100</f>
        <v>100</v>
      </c>
      <c r="BB29">
        <f>VLOOKUP(Format1!BB28,Labels!$H$3:$I$92,2,FALSE) + 100</f>
        <v>100</v>
      </c>
      <c r="BC29">
        <f>VLOOKUP(Format1!BC28,Labels!$H$3:$I$92,2,FALSE) + 100</f>
        <v>100</v>
      </c>
      <c r="BD29">
        <f>VLOOKUP(Format1!BD28,Labels!$H$3:$I$92,2,FALSE) + 100</f>
        <v>100</v>
      </c>
      <c r="BE29">
        <f>VLOOKUP(Format1!BE28,Labels!$H$3:$I$92,2,FALSE) + 100</f>
        <v>100</v>
      </c>
    </row>
    <row r="30" spans="1:57" x14ac:dyDescent="0.35">
      <c r="A30" t="str">
        <v>ExpressaoSimples</v>
      </c>
      <c r="B30">
        <v>28</v>
      </c>
      <c r="C30">
        <f>VLOOKUP(Format1!C29,Labels!$H$3:$I$92,2,FALSE) + 100</f>
        <v>100</v>
      </c>
      <c r="D30">
        <f>VLOOKUP(Format1!D29,Labels!$H$3:$I$92,2,FALSE) + 100</f>
        <v>160</v>
      </c>
      <c r="E30">
        <f>VLOOKUP(Format1!E29,Labels!$H$3:$I$92,2,FALSE) + 100</f>
        <v>160</v>
      </c>
      <c r="F30">
        <f>VLOOKUP(Format1!F29,Labels!$H$3:$I$92,2,FALSE) + 100</f>
        <v>100</v>
      </c>
      <c r="G30">
        <f>VLOOKUP(Format1!G29,Labels!$H$3:$I$92,2,FALSE) + 100</f>
        <v>100</v>
      </c>
      <c r="H30">
        <f>VLOOKUP(Format1!H29,Labels!$H$3:$I$92,2,FALSE) + 100</f>
        <v>100</v>
      </c>
      <c r="I30">
        <f>VLOOKUP(Format1!I29,Labels!$H$3:$I$92,2,FALSE) + 100</f>
        <v>100</v>
      </c>
      <c r="J30">
        <f>VLOOKUP(Format1!J29,Labels!$H$3:$I$92,2,FALSE) + 100</f>
        <v>160</v>
      </c>
      <c r="K30">
        <f>VLOOKUP(Format1!K29,Labels!$H$3:$I$92,2,FALSE) + 100</f>
        <v>160</v>
      </c>
      <c r="L30">
        <f>VLOOKUP(Format1!L29,Labels!$H$3:$I$92,2,FALSE) + 100</f>
        <v>100</v>
      </c>
      <c r="M30">
        <f>VLOOKUP(Format1!M29,Labels!$H$3:$I$92,2,FALSE) + 100</f>
        <v>100</v>
      </c>
      <c r="N30">
        <f>VLOOKUP(Format1!N29,Labels!$H$3:$I$92,2,FALSE) + 100</f>
        <v>160</v>
      </c>
      <c r="O30">
        <f>VLOOKUP(Format1!O29,Labels!$H$3:$I$92,2,FALSE) + 100</f>
        <v>100</v>
      </c>
      <c r="P30">
        <f>VLOOKUP(Format1!P29,Labels!$H$3:$I$92,2,FALSE) + 100</f>
        <v>160</v>
      </c>
      <c r="Q30">
        <f>VLOOKUP(Format1!Q29,Labels!$H$3:$I$92,2,FALSE) + 100</f>
        <v>160</v>
      </c>
      <c r="R30">
        <f>VLOOKUP(Format1!R29,Labels!$H$3:$I$92,2,FALSE) + 100</f>
        <v>100</v>
      </c>
      <c r="S30">
        <f>VLOOKUP(Format1!S29,Labels!$H$3:$I$92,2,FALSE) + 100</f>
        <v>100</v>
      </c>
      <c r="T30">
        <f>VLOOKUP(Format1!T29,Labels!$H$3:$I$92,2,FALSE) + 100</f>
        <v>160</v>
      </c>
      <c r="U30">
        <f>VLOOKUP(Format1!U29,Labels!$H$3:$I$92,2,FALSE) + 100</f>
        <v>100</v>
      </c>
      <c r="V30">
        <f>VLOOKUP(Format1!V29,Labels!$H$3:$I$92,2,FALSE) + 100</f>
        <v>100</v>
      </c>
      <c r="W30">
        <f>VLOOKUP(Format1!W29,Labels!$H$3:$I$92,2,FALSE) + 100</f>
        <v>100</v>
      </c>
      <c r="X30">
        <f>VLOOKUP(Format1!X29,Labels!$H$3:$I$92,2,FALSE) + 100</f>
        <v>100</v>
      </c>
      <c r="Y30">
        <f>VLOOKUP(Format1!Y29,Labels!$H$3:$I$92,2,FALSE) + 100</f>
        <v>100</v>
      </c>
      <c r="Z30">
        <f>VLOOKUP(Format1!Z29,Labels!$H$3:$I$92,2,FALSE) + 100</f>
        <v>100</v>
      </c>
      <c r="AA30">
        <f>VLOOKUP(Format1!AA29,Labels!$H$3:$I$92,2,FALSE) + 100</f>
        <v>100</v>
      </c>
      <c r="AB30">
        <f>VLOOKUP(Format1!AB29,Labels!$H$3:$I$92,2,FALSE) + 100</f>
        <v>100</v>
      </c>
      <c r="AC30">
        <f>VLOOKUP(Format1!AC29,Labels!$H$3:$I$92,2,FALSE) + 100</f>
        <v>160</v>
      </c>
      <c r="AD30">
        <f>VLOOKUP(Format1!AD29,Labels!$H$3:$I$92,2,FALSE) + 100</f>
        <v>100</v>
      </c>
      <c r="AE30">
        <f>VLOOKUP(Format1!AE29,Labels!$H$3:$I$92,2,FALSE) + 100</f>
        <v>100</v>
      </c>
      <c r="AF30">
        <f>VLOOKUP(Format1!AF29,Labels!$H$3:$I$92,2,FALSE) + 100</f>
        <v>160</v>
      </c>
      <c r="AG30">
        <f>VLOOKUP(Format1!AG29,Labels!$H$3:$I$92,2,FALSE) + 100</f>
        <v>100</v>
      </c>
      <c r="AH30">
        <f>VLOOKUP(Format1!AH29,Labels!$H$3:$I$92,2,FALSE) + 100</f>
        <v>100</v>
      </c>
      <c r="AI30">
        <f>VLOOKUP(Format1!AI29,Labels!$H$3:$I$92,2,FALSE) + 100</f>
        <v>160</v>
      </c>
      <c r="AJ30">
        <f>VLOOKUP(Format1!AJ29,Labels!$H$3:$I$92,2,FALSE) + 100</f>
        <v>160</v>
      </c>
      <c r="AK30">
        <f>VLOOKUP(Format1!AK29,Labels!$H$3:$I$92,2,FALSE) + 100</f>
        <v>100</v>
      </c>
      <c r="AL30">
        <f>VLOOKUP(Format1!AL29,Labels!$H$3:$I$92,2,FALSE) + 100</f>
        <v>100</v>
      </c>
      <c r="AM30">
        <f>VLOOKUP(Format1!AM29,Labels!$H$3:$I$92,2,FALSE) + 100</f>
        <v>100</v>
      </c>
      <c r="AN30">
        <f>VLOOKUP(Format1!AN29,Labels!$H$3:$I$92,2,FALSE) + 100</f>
        <v>160</v>
      </c>
      <c r="AO30">
        <f>VLOOKUP(Format1!AO29,Labels!$H$3:$I$92,2,FALSE) + 100</f>
        <v>160</v>
      </c>
      <c r="AP30">
        <f>VLOOKUP(Format1!AP29,Labels!$H$3:$I$92,2,FALSE) + 100</f>
        <v>160</v>
      </c>
      <c r="AQ30">
        <f>VLOOKUP(Format1!AQ29,Labels!$H$3:$I$92,2,FALSE) + 100</f>
        <v>160</v>
      </c>
      <c r="AR30">
        <f>VLOOKUP(Format1!AR29,Labels!$H$3:$I$92,2,FALSE) + 100</f>
        <v>160</v>
      </c>
      <c r="AS30">
        <f>VLOOKUP(Format1!AS29,Labels!$H$3:$I$92,2,FALSE) + 100</f>
        <v>160</v>
      </c>
      <c r="AT30">
        <f>VLOOKUP(Format1!AT29,Labels!$H$3:$I$92,2,FALSE) + 100</f>
        <v>160</v>
      </c>
      <c r="AU30">
        <f>VLOOKUP(Format1!AU29,Labels!$H$3:$I$92,2,FALSE) + 100</f>
        <v>100</v>
      </c>
      <c r="AV30">
        <f>VLOOKUP(Format1!AV29,Labels!$H$3:$I$92,2,FALSE) + 100</f>
        <v>100</v>
      </c>
      <c r="AW30">
        <f>VLOOKUP(Format1!AW29,Labels!$H$3:$I$92,2,FALSE) + 100</f>
        <v>100</v>
      </c>
      <c r="AX30">
        <f>VLOOKUP(Format1!AX29,Labels!$H$3:$I$92,2,FALSE) + 100</f>
        <v>100</v>
      </c>
      <c r="AY30">
        <f>VLOOKUP(Format1!AY29,Labels!$H$3:$I$92,2,FALSE) + 100</f>
        <v>100</v>
      </c>
      <c r="AZ30">
        <f>VLOOKUP(Format1!AZ29,Labels!$H$3:$I$92,2,FALSE) + 100</f>
        <v>160</v>
      </c>
      <c r="BA30">
        <f>VLOOKUP(Format1!BA29,Labels!$H$3:$I$92,2,FALSE) + 100</f>
        <v>160</v>
      </c>
      <c r="BB30">
        <f>VLOOKUP(Format1!BB29,Labels!$H$3:$I$92,2,FALSE) + 100</f>
        <v>160</v>
      </c>
      <c r="BC30">
        <f>VLOOKUP(Format1!BC29,Labels!$H$3:$I$92,2,FALSE) + 100</f>
        <v>160</v>
      </c>
      <c r="BD30">
        <f>VLOOKUP(Format1!BD29,Labels!$H$3:$I$92,2,FALSE) + 100</f>
        <v>160</v>
      </c>
      <c r="BE30">
        <f>VLOOKUP(Format1!BE29,Labels!$H$3:$I$92,2,FALSE) + 100</f>
        <v>100</v>
      </c>
    </row>
    <row r="31" spans="1:57" x14ac:dyDescent="0.35">
      <c r="A31" t="str">
        <v>Signal</v>
      </c>
      <c r="B31">
        <v>29</v>
      </c>
      <c r="C31">
        <f>VLOOKUP(Format1!C30,Labels!$H$3:$I$92,2,FALSE) + 100</f>
        <v>100</v>
      </c>
      <c r="D31">
        <f>VLOOKUP(Format1!D30,Labels!$H$3:$I$92,2,FALSE) + 100</f>
        <v>163</v>
      </c>
      <c r="E31">
        <f>VLOOKUP(Format1!E30,Labels!$H$3:$I$92,2,FALSE) + 100</f>
        <v>100</v>
      </c>
      <c r="F31">
        <f>VLOOKUP(Format1!F30,Labels!$H$3:$I$92,2,FALSE) + 100</f>
        <v>100</v>
      </c>
      <c r="G31">
        <f>VLOOKUP(Format1!G30,Labels!$H$3:$I$92,2,FALSE) + 100</f>
        <v>100</v>
      </c>
      <c r="H31">
        <f>VLOOKUP(Format1!H30,Labels!$H$3:$I$92,2,FALSE) + 100</f>
        <v>100</v>
      </c>
      <c r="I31">
        <f>VLOOKUP(Format1!I30,Labels!$H$3:$I$92,2,FALSE) + 100</f>
        <v>100</v>
      </c>
      <c r="J31">
        <f>VLOOKUP(Format1!J30,Labels!$H$3:$I$92,2,FALSE) + 100</f>
        <v>163</v>
      </c>
      <c r="K31">
        <f>VLOOKUP(Format1!K30,Labels!$H$3:$I$92,2,FALSE) + 100</f>
        <v>100</v>
      </c>
      <c r="L31">
        <f>VLOOKUP(Format1!L30,Labels!$H$3:$I$92,2,FALSE) + 100</f>
        <v>100</v>
      </c>
      <c r="M31">
        <f>VLOOKUP(Format1!M30,Labels!$H$3:$I$92,2,FALSE) + 100</f>
        <v>100</v>
      </c>
      <c r="N31">
        <f>VLOOKUP(Format1!N30,Labels!$H$3:$I$92,2,FALSE) + 100</f>
        <v>100</v>
      </c>
      <c r="O31">
        <f>VLOOKUP(Format1!O30,Labels!$H$3:$I$92,2,FALSE) + 100</f>
        <v>100</v>
      </c>
      <c r="P31">
        <f>VLOOKUP(Format1!P30,Labels!$H$3:$I$92,2,FALSE) + 100</f>
        <v>100</v>
      </c>
      <c r="Q31">
        <f>VLOOKUP(Format1!Q30,Labels!$H$3:$I$92,2,FALSE) + 100</f>
        <v>100</v>
      </c>
      <c r="R31">
        <f>VLOOKUP(Format1!R30,Labels!$H$3:$I$92,2,FALSE) + 100</f>
        <v>100</v>
      </c>
      <c r="S31">
        <f>VLOOKUP(Format1!S30,Labels!$H$3:$I$92,2,FALSE) + 100</f>
        <v>100</v>
      </c>
      <c r="T31">
        <f>VLOOKUP(Format1!T30,Labels!$H$3:$I$92,2,FALSE) + 100</f>
        <v>163</v>
      </c>
      <c r="U31">
        <f>VLOOKUP(Format1!U30,Labels!$H$3:$I$92,2,FALSE) + 100</f>
        <v>100</v>
      </c>
      <c r="V31">
        <f>VLOOKUP(Format1!V30,Labels!$H$3:$I$92,2,FALSE) + 100</f>
        <v>100</v>
      </c>
      <c r="W31">
        <f>VLOOKUP(Format1!W30,Labels!$H$3:$I$92,2,FALSE) + 100</f>
        <v>100</v>
      </c>
      <c r="X31">
        <f>VLOOKUP(Format1!X30,Labels!$H$3:$I$92,2,FALSE) + 100</f>
        <v>100</v>
      </c>
      <c r="Y31">
        <f>VLOOKUP(Format1!Y30,Labels!$H$3:$I$92,2,FALSE) + 100</f>
        <v>100</v>
      </c>
      <c r="Z31">
        <f>VLOOKUP(Format1!Z30,Labels!$H$3:$I$92,2,FALSE) + 100</f>
        <v>100</v>
      </c>
      <c r="AA31">
        <f>VLOOKUP(Format1!AA30,Labels!$H$3:$I$92,2,FALSE) + 100</f>
        <v>100</v>
      </c>
      <c r="AB31">
        <f>VLOOKUP(Format1!AB30,Labels!$H$3:$I$92,2,FALSE) + 100</f>
        <v>100</v>
      </c>
      <c r="AC31">
        <f>VLOOKUP(Format1!AC30,Labels!$H$3:$I$92,2,FALSE) + 100</f>
        <v>100</v>
      </c>
      <c r="AD31">
        <f>VLOOKUP(Format1!AD30,Labels!$H$3:$I$92,2,FALSE) + 100</f>
        <v>100</v>
      </c>
      <c r="AE31">
        <f>VLOOKUP(Format1!AE30,Labels!$H$3:$I$92,2,FALSE) + 100</f>
        <v>100</v>
      </c>
      <c r="AF31">
        <f>VLOOKUP(Format1!AF30,Labels!$H$3:$I$92,2,FALSE) + 100</f>
        <v>100</v>
      </c>
      <c r="AG31">
        <f>VLOOKUP(Format1!AG30,Labels!$H$3:$I$92,2,FALSE) + 100</f>
        <v>100</v>
      </c>
      <c r="AH31">
        <f>VLOOKUP(Format1!AH30,Labels!$H$3:$I$92,2,FALSE) + 100</f>
        <v>100</v>
      </c>
      <c r="AI31">
        <f>VLOOKUP(Format1!AI30,Labels!$H$3:$I$92,2,FALSE) + 100</f>
        <v>100</v>
      </c>
      <c r="AJ31">
        <f>VLOOKUP(Format1!AJ30,Labels!$H$3:$I$92,2,FALSE) + 100</f>
        <v>100</v>
      </c>
      <c r="AK31">
        <f>VLOOKUP(Format1!AK30,Labels!$H$3:$I$92,2,FALSE) + 100</f>
        <v>100</v>
      </c>
      <c r="AL31">
        <f>VLOOKUP(Format1!AL30,Labels!$H$3:$I$92,2,FALSE) + 100</f>
        <v>100</v>
      </c>
      <c r="AM31">
        <f>VLOOKUP(Format1!AM30,Labels!$H$3:$I$92,2,FALSE) + 100</f>
        <v>100</v>
      </c>
      <c r="AN31">
        <f>VLOOKUP(Format1!AN30,Labels!$H$3:$I$92,2,FALSE) + 100</f>
        <v>100</v>
      </c>
      <c r="AO31">
        <f>VLOOKUP(Format1!AO30,Labels!$H$3:$I$92,2,FALSE) + 100</f>
        <v>100</v>
      </c>
      <c r="AP31">
        <f>VLOOKUP(Format1!AP30,Labels!$H$3:$I$92,2,FALSE) + 100</f>
        <v>100</v>
      </c>
      <c r="AQ31">
        <f>VLOOKUP(Format1!AQ30,Labels!$H$3:$I$92,2,FALSE) + 100</f>
        <v>100</v>
      </c>
      <c r="AR31">
        <f>VLOOKUP(Format1!AR30,Labels!$H$3:$I$92,2,FALSE) + 100</f>
        <v>100</v>
      </c>
      <c r="AS31">
        <f>VLOOKUP(Format1!AS30,Labels!$H$3:$I$92,2,FALSE) + 100</f>
        <v>161</v>
      </c>
      <c r="AT31">
        <f>VLOOKUP(Format1!AT30,Labels!$H$3:$I$92,2,FALSE) + 100</f>
        <v>162</v>
      </c>
      <c r="AU31">
        <f>VLOOKUP(Format1!AU30,Labels!$H$3:$I$92,2,FALSE) + 100</f>
        <v>100</v>
      </c>
      <c r="AV31">
        <f>VLOOKUP(Format1!AV30,Labels!$H$3:$I$92,2,FALSE) + 100</f>
        <v>100</v>
      </c>
      <c r="AW31">
        <f>VLOOKUP(Format1!AW30,Labels!$H$3:$I$92,2,FALSE) + 100</f>
        <v>100</v>
      </c>
      <c r="AX31">
        <f>VLOOKUP(Format1!AX30,Labels!$H$3:$I$92,2,FALSE) + 100</f>
        <v>100</v>
      </c>
      <c r="AY31">
        <f>VLOOKUP(Format1!AY30,Labels!$H$3:$I$92,2,FALSE) + 100</f>
        <v>100</v>
      </c>
      <c r="AZ31">
        <f>VLOOKUP(Format1!AZ30,Labels!$H$3:$I$92,2,FALSE) + 100</f>
        <v>163</v>
      </c>
      <c r="BA31">
        <f>VLOOKUP(Format1!BA30,Labels!$H$3:$I$92,2,FALSE) + 100</f>
        <v>163</v>
      </c>
      <c r="BB31">
        <f>VLOOKUP(Format1!BB30,Labels!$H$3:$I$92,2,FALSE) + 100</f>
        <v>163</v>
      </c>
      <c r="BC31">
        <f>VLOOKUP(Format1!BC30,Labels!$H$3:$I$92,2,FALSE) + 100</f>
        <v>163</v>
      </c>
      <c r="BD31">
        <f>VLOOKUP(Format1!BD30,Labels!$H$3:$I$92,2,FALSE) + 100</f>
        <v>163</v>
      </c>
      <c r="BE31">
        <f>VLOOKUP(Format1!BE30,Labels!$H$3:$I$92,2,FALSE) + 100</f>
        <v>100</v>
      </c>
    </row>
    <row r="32" spans="1:57" x14ac:dyDescent="0.35">
      <c r="A32" t="str">
        <v>ExpressaoSimplesNew</v>
      </c>
      <c r="B32">
        <v>30</v>
      </c>
      <c r="C32">
        <f>VLOOKUP(Format1!C31,Labels!$H$3:$I$92,2,FALSE) + 100</f>
        <v>100</v>
      </c>
      <c r="D32">
        <f>VLOOKUP(Format1!D31,Labels!$H$3:$I$92,2,FALSE) + 100</f>
        <v>100</v>
      </c>
      <c r="E32">
        <f>VLOOKUP(Format1!E31,Labels!$H$3:$I$92,2,FALSE) + 100</f>
        <v>167</v>
      </c>
      <c r="F32">
        <f>VLOOKUP(Format1!F31,Labels!$H$3:$I$92,2,FALSE) + 100</f>
        <v>100</v>
      </c>
      <c r="G32">
        <f>VLOOKUP(Format1!G31,Labels!$H$3:$I$92,2,FALSE) + 100</f>
        <v>100</v>
      </c>
      <c r="H32">
        <f>VLOOKUP(Format1!H31,Labels!$H$3:$I$92,2,FALSE) + 100</f>
        <v>100</v>
      </c>
      <c r="I32">
        <f>VLOOKUP(Format1!I31,Labels!$H$3:$I$92,2,FALSE) + 100</f>
        <v>100</v>
      </c>
      <c r="J32">
        <f>VLOOKUP(Format1!J31,Labels!$H$3:$I$92,2,FALSE) + 100</f>
        <v>100</v>
      </c>
      <c r="K32">
        <f>VLOOKUP(Format1!K31,Labels!$H$3:$I$92,2,FALSE) + 100</f>
        <v>167</v>
      </c>
      <c r="L32">
        <f>VLOOKUP(Format1!L31,Labels!$H$3:$I$92,2,FALSE) + 100</f>
        <v>100</v>
      </c>
      <c r="M32">
        <f>VLOOKUP(Format1!M31,Labels!$H$3:$I$92,2,FALSE) + 100</f>
        <v>100</v>
      </c>
      <c r="N32">
        <f>VLOOKUP(Format1!N31,Labels!$H$3:$I$92,2,FALSE) + 100</f>
        <v>167</v>
      </c>
      <c r="O32">
        <f>VLOOKUP(Format1!O31,Labels!$H$3:$I$92,2,FALSE) + 100</f>
        <v>100</v>
      </c>
      <c r="P32">
        <f>VLOOKUP(Format1!P31,Labels!$H$3:$I$92,2,FALSE) + 100</f>
        <v>167</v>
      </c>
      <c r="Q32">
        <f>VLOOKUP(Format1!Q31,Labels!$H$3:$I$92,2,FALSE) + 100</f>
        <v>167</v>
      </c>
      <c r="R32">
        <f>VLOOKUP(Format1!R31,Labels!$H$3:$I$92,2,FALSE) + 100</f>
        <v>100</v>
      </c>
      <c r="S32">
        <f>VLOOKUP(Format1!S31,Labels!$H$3:$I$92,2,FALSE) + 100</f>
        <v>100</v>
      </c>
      <c r="T32">
        <f>VLOOKUP(Format1!T31,Labels!$H$3:$I$92,2,FALSE) + 100</f>
        <v>100</v>
      </c>
      <c r="U32">
        <f>VLOOKUP(Format1!U31,Labels!$H$3:$I$92,2,FALSE) + 100</f>
        <v>100</v>
      </c>
      <c r="V32">
        <f>VLOOKUP(Format1!V31,Labels!$H$3:$I$92,2,FALSE) + 100</f>
        <v>100</v>
      </c>
      <c r="W32">
        <f>VLOOKUP(Format1!W31,Labels!$H$3:$I$92,2,FALSE) + 100</f>
        <v>100</v>
      </c>
      <c r="X32">
        <f>VLOOKUP(Format1!X31,Labels!$H$3:$I$92,2,FALSE) + 100</f>
        <v>100</v>
      </c>
      <c r="Y32">
        <f>VLOOKUP(Format1!Y31,Labels!$H$3:$I$92,2,FALSE) + 100</f>
        <v>100</v>
      </c>
      <c r="Z32">
        <f>VLOOKUP(Format1!Z31,Labels!$H$3:$I$92,2,FALSE) + 100</f>
        <v>100</v>
      </c>
      <c r="AA32">
        <f>VLOOKUP(Format1!AA31,Labels!$H$3:$I$92,2,FALSE) + 100</f>
        <v>100</v>
      </c>
      <c r="AB32">
        <f>VLOOKUP(Format1!AB31,Labels!$H$3:$I$92,2,FALSE) + 100</f>
        <v>100</v>
      </c>
      <c r="AC32">
        <f>VLOOKUP(Format1!AC31,Labels!$H$3:$I$92,2,FALSE) + 100</f>
        <v>167</v>
      </c>
      <c r="AD32">
        <f>VLOOKUP(Format1!AD31,Labels!$H$3:$I$92,2,FALSE) + 100</f>
        <v>100</v>
      </c>
      <c r="AE32">
        <f>VLOOKUP(Format1!AE31,Labels!$H$3:$I$92,2,FALSE) + 100</f>
        <v>100</v>
      </c>
      <c r="AF32">
        <f>VLOOKUP(Format1!AF31,Labels!$H$3:$I$92,2,FALSE) + 100</f>
        <v>167</v>
      </c>
      <c r="AG32">
        <f>VLOOKUP(Format1!AG31,Labels!$H$3:$I$92,2,FALSE) + 100</f>
        <v>100</v>
      </c>
      <c r="AH32">
        <f>VLOOKUP(Format1!AH31,Labels!$H$3:$I$92,2,FALSE) + 100</f>
        <v>100</v>
      </c>
      <c r="AI32">
        <f>VLOOKUP(Format1!AI31,Labels!$H$3:$I$92,2,FALSE) + 100</f>
        <v>167</v>
      </c>
      <c r="AJ32">
        <f>VLOOKUP(Format1!AJ31,Labels!$H$3:$I$92,2,FALSE) + 100</f>
        <v>167</v>
      </c>
      <c r="AK32">
        <f>VLOOKUP(Format1!AK31,Labels!$H$3:$I$92,2,FALSE) + 100</f>
        <v>100</v>
      </c>
      <c r="AL32">
        <f>VLOOKUP(Format1!AL31,Labels!$H$3:$I$92,2,FALSE) + 100</f>
        <v>100</v>
      </c>
      <c r="AM32">
        <f>VLOOKUP(Format1!AM31,Labels!$H$3:$I$92,2,FALSE) + 100</f>
        <v>100</v>
      </c>
      <c r="AN32">
        <f>VLOOKUP(Format1!AN31,Labels!$H$3:$I$92,2,FALSE) + 100</f>
        <v>167</v>
      </c>
      <c r="AO32">
        <f>VLOOKUP(Format1!AO31,Labels!$H$3:$I$92,2,FALSE) + 100</f>
        <v>167</v>
      </c>
      <c r="AP32">
        <f>VLOOKUP(Format1!AP31,Labels!$H$3:$I$92,2,FALSE) + 100</f>
        <v>167</v>
      </c>
      <c r="AQ32">
        <f>VLOOKUP(Format1!AQ31,Labels!$H$3:$I$92,2,FALSE) + 100</f>
        <v>167</v>
      </c>
      <c r="AR32">
        <f>VLOOKUP(Format1!AR31,Labels!$H$3:$I$92,2,FALSE) + 100</f>
        <v>167</v>
      </c>
      <c r="AS32">
        <f>VLOOKUP(Format1!AS31,Labels!$H$3:$I$92,2,FALSE) + 100</f>
        <v>164</v>
      </c>
      <c r="AT32">
        <f>VLOOKUP(Format1!AT31,Labels!$H$3:$I$92,2,FALSE) + 100</f>
        <v>165</v>
      </c>
      <c r="AU32">
        <f>VLOOKUP(Format1!AU31,Labels!$H$3:$I$92,2,FALSE) + 100</f>
        <v>166</v>
      </c>
      <c r="AV32">
        <f>VLOOKUP(Format1!AV31,Labels!$H$3:$I$92,2,FALSE) + 100</f>
        <v>100</v>
      </c>
      <c r="AW32">
        <f>VLOOKUP(Format1!AW31,Labels!$H$3:$I$92,2,FALSE) + 100</f>
        <v>100</v>
      </c>
      <c r="AX32">
        <f>VLOOKUP(Format1!AX31,Labels!$H$3:$I$92,2,FALSE) + 100</f>
        <v>100</v>
      </c>
      <c r="AY32">
        <f>VLOOKUP(Format1!AY31,Labels!$H$3:$I$92,2,FALSE) + 100</f>
        <v>100</v>
      </c>
      <c r="AZ32">
        <f>VLOOKUP(Format1!AZ31,Labels!$H$3:$I$92,2,FALSE) + 100</f>
        <v>100</v>
      </c>
      <c r="BA32">
        <f>VLOOKUP(Format1!BA31,Labels!$H$3:$I$92,2,FALSE) + 100</f>
        <v>100</v>
      </c>
      <c r="BB32">
        <f>VLOOKUP(Format1!BB31,Labels!$H$3:$I$92,2,FALSE) + 100</f>
        <v>100</v>
      </c>
      <c r="BC32">
        <f>VLOOKUP(Format1!BC31,Labels!$H$3:$I$92,2,FALSE) + 100</f>
        <v>100</v>
      </c>
      <c r="BD32">
        <f>VLOOKUP(Format1!BD31,Labels!$H$3:$I$92,2,FALSE) + 100</f>
        <v>100</v>
      </c>
      <c r="BE32">
        <f>VLOOKUP(Format1!BE31,Labels!$H$3:$I$92,2,FALSE) + 100</f>
        <v>100</v>
      </c>
    </row>
    <row r="33" spans="1:57" x14ac:dyDescent="0.35">
      <c r="A33" t="str">
        <v>Termo</v>
      </c>
      <c r="B33">
        <v>31</v>
      </c>
      <c r="C33">
        <f>VLOOKUP(Format1!C32,Labels!$H$3:$I$92,2,FALSE) + 100</f>
        <v>100</v>
      </c>
      <c r="D33">
        <f>VLOOKUP(Format1!D32,Labels!$H$3:$I$92,2,FALSE) + 100</f>
        <v>168</v>
      </c>
      <c r="E33">
        <f>VLOOKUP(Format1!E32,Labels!$H$3:$I$92,2,FALSE) + 100</f>
        <v>100</v>
      </c>
      <c r="F33">
        <f>VLOOKUP(Format1!F32,Labels!$H$3:$I$92,2,FALSE) + 100</f>
        <v>100</v>
      </c>
      <c r="G33">
        <f>VLOOKUP(Format1!G32,Labels!$H$3:$I$92,2,FALSE) + 100</f>
        <v>100</v>
      </c>
      <c r="H33">
        <f>VLOOKUP(Format1!H32,Labels!$H$3:$I$92,2,FALSE) + 100</f>
        <v>100</v>
      </c>
      <c r="I33">
        <f>VLOOKUP(Format1!I32,Labels!$H$3:$I$92,2,FALSE) + 100</f>
        <v>100</v>
      </c>
      <c r="J33">
        <f>VLOOKUP(Format1!J32,Labels!$H$3:$I$92,2,FALSE) + 100</f>
        <v>168</v>
      </c>
      <c r="K33">
        <f>VLOOKUP(Format1!K32,Labels!$H$3:$I$92,2,FALSE) + 100</f>
        <v>100</v>
      </c>
      <c r="L33">
        <f>VLOOKUP(Format1!L32,Labels!$H$3:$I$92,2,FALSE) + 100</f>
        <v>100</v>
      </c>
      <c r="M33">
        <f>VLOOKUP(Format1!M32,Labels!$H$3:$I$92,2,FALSE) + 100</f>
        <v>100</v>
      </c>
      <c r="N33">
        <f>VLOOKUP(Format1!N32,Labels!$H$3:$I$92,2,FALSE) + 100</f>
        <v>100</v>
      </c>
      <c r="O33">
        <f>VLOOKUP(Format1!O32,Labels!$H$3:$I$92,2,FALSE) + 100</f>
        <v>100</v>
      </c>
      <c r="P33">
        <f>VLOOKUP(Format1!P32,Labels!$H$3:$I$92,2,FALSE) + 100</f>
        <v>100</v>
      </c>
      <c r="Q33">
        <f>VLOOKUP(Format1!Q32,Labels!$H$3:$I$92,2,FALSE) + 100</f>
        <v>100</v>
      </c>
      <c r="R33">
        <f>VLOOKUP(Format1!R32,Labels!$H$3:$I$92,2,FALSE) + 100</f>
        <v>100</v>
      </c>
      <c r="S33">
        <f>VLOOKUP(Format1!S32,Labels!$H$3:$I$92,2,FALSE) + 100</f>
        <v>100</v>
      </c>
      <c r="T33">
        <f>VLOOKUP(Format1!T32,Labels!$H$3:$I$92,2,FALSE) + 100</f>
        <v>168</v>
      </c>
      <c r="U33">
        <f>VLOOKUP(Format1!U32,Labels!$H$3:$I$92,2,FALSE) + 100</f>
        <v>100</v>
      </c>
      <c r="V33">
        <f>VLOOKUP(Format1!V32,Labels!$H$3:$I$92,2,FALSE) + 100</f>
        <v>100</v>
      </c>
      <c r="W33">
        <f>VLOOKUP(Format1!W32,Labels!$H$3:$I$92,2,FALSE) + 100</f>
        <v>100</v>
      </c>
      <c r="X33">
        <f>VLOOKUP(Format1!X32,Labels!$H$3:$I$92,2,FALSE) + 100</f>
        <v>100</v>
      </c>
      <c r="Y33">
        <f>VLOOKUP(Format1!Y32,Labels!$H$3:$I$92,2,FALSE) + 100</f>
        <v>100</v>
      </c>
      <c r="Z33">
        <f>VLOOKUP(Format1!Z32,Labels!$H$3:$I$92,2,FALSE) + 100</f>
        <v>100</v>
      </c>
      <c r="AA33">
        <f>VLOOKUP(Format1!AA32,Labels!$H$3:$I$92,2,FALSE) + 100</f>
        <v>100</v>
      </c>
      <c r="AB33">
        <f>VLOOKUP(Format1!AB32,Labels!$H$3:$I$92,2,FALSE) + 100</f>
        <v>100</v>
      </c>
      <c r="AC33">
        <f>VLOOKUP(Format1!AC32,Labels!$H$3:$I$92,2,FALSE) + 100</f>
        <v>100</v>
      </c>
      <c r="AD33">
        <f>VLOOKUP(Format1!AD32,Labels!$H$3:$I$92,2,FALSE) + 100</f>
        <v>100</v>
      </c>
      <c r="AE33">
        <f>VLOOKUP(Format1!AE32,Labels!$H$3:$I$92,2,FALSE) + 100</f>
        <v>100</v>
      </c>
      <c r="AF33">
        <f>VLOOKUP(Format1!AF32,Labels!$H$3:$I$92,2,FALSE) + 100</f>
        <v>100</v>
      </c>
      <c r="AG33">
        <f>VLOOKUP(Format1!AG32,Labels!$H$3:$I$92,2,FALSE) + 100</f>
        <v>100</v>
      </c>
      <c r="AH33">
        <f>VLOOKUP(Format1!AH32,Labels!$H$3:$I$92,2,FALSE) + 100</f>
        <v>100</v>
      </c>
      <c r="AI33">
        <f>VLOOKUP(Format1!AI32,Labels!$H$3:$I$92,2,FALSE) + 100</f>
        <v>100</v>
      </c>
      <c r="AJ33">
        <f>VLOOKUP(Format1!AJ32,Labels!$H$3:$I$92,2,FALSE) + 100</f>
        <v>100</v>
      </c>
      <c r="AK33">
        <f>VLOOKUP(Format1!AK32,Labels!$H$3:$I$92,2,FALSE) + 100</f>
        <v>100</v>
      </c>
      <c r="AL33">
        <f>VLOOKUP(Format1!AL32,Labels!$H$3:$I$92,2,FALSE) + 100</f>
        <v>100</v>
      </c>
      <c r="AM33">
        <f>VLOOKUP(Format1!AM32,Labels!$H$3:$I$92,2,FALSE) + 100</f>
        <v>100</v>
      </c>
      <c r="AN33">
        <f>VLOOKUP(Format1!AN32,Labels!$H$3:$I$92,2,FALSE) + 100</f>
        <v>100</v>
      </c>
      <c r="AO33">
        <f>VLOOKUP(Format1!AO32,Labels!$H$3:$I$92,2,FALSE) + 100</f>
        <v>100</v>
      </c>
      <c r="AP33">
        <f>VLOOKUP(Format1!AP32,Labels!$H$3:$I$92,2,FALSE) + 100</f>
        <v>100</v>
      </c>
      <c r="AQ33">
        <f>VLOOKUP(Format1!AQ32,Labels!$H$3:$I$92,2,FALSE) + 100</f>
        <v>100</v>
      </c>
      <c r="AR33">
        <f>VLOOKUP(Format1!AR32,Labels!$H$3:$I$92,2,FALSE) + 100</f>
        <v>100</v>
      </c>
      <c r="AS33">
        <f>VLOOKUP(Format1!AS32,Labels!$H$3:$I$92,2,FALSE) + 100</f>
        <v>100</v>
      </c>
      <c r="AT33">
        <f>VLOOKUP(Format1!AT32,Labels!$H$3:$I$92,2,FALSE) + 100</f>
        <v>100</v>
      </c>
      <c r="AU33">
        <f>VLOOKUP(Format1!AU32,Labels!$H$3:$I$92,2,FALSE) + 100</f>
        <v>100</v>
      </c>
      <c r="AV33">
        <f>VLOOKUP(Format1!AV32,Labels!$H$3:$I$92,2,FALSE) + 100</f>
        <v>100</v>
      </c>
      <c r="AW33">
        <f>VLOOKUP(Format1!AW32,Labels!$H$3:$I$92,2,FALSE) + 100</f>
        <v>100</v>
      </c>
      <c r="AX33">
        <f>VLOOKUP(Format1!AX32,Labels!$H$3:$I$92,2,FALSE) + 100</f>
        <v>100</v>
      </c>
      <c r="AY33">
        <f>VLOOKUP(Format1!AY32,Labels!$H$3:$I$92,2,FALSE) + 100</f>
        <v>100</v>
      </c>
      <c r="AZ33">
        <f>VLOOKUP(Format1!AZ32,Labels!$H$3:$I$92,2,FALSE) + 100</f>
        <v>168</v>
      </c>
      <c r="BA33">
        <f>VLOOKUP(Format1!BA32,Labels!$H$3:$I$92,2,FALSE) + 100</f>
        <v>168</v>
      </c>
      <c r="BB33">
        <f>VLOOKUP(Format1!BB32,Labels!$H$3:$I$92,2,FALSE) + 100</f>
        <v>168</v>
      </c>
      <c r="BC33">
        <f>VLOOKUP(Format1!BC32,Labels!$H$3:$I$92,2,FALSE) + 100</f>
        <v>168</v>
      </c>
      <c r="BD33">
        <f>VLOOKUP(Format1!BD32,Labels!$H$3:$I$92,2,FALSE) + 100</f>
        <v>168</v>
      </c>
      <c r="BE33">
        <f>VLOOKUP(Format1!BE32,Labels!$H$3:$I$92,2,FALSE) + 100</f>
        <v>100</v>
      </c>
    </row>
    <row r="34" spans="1:57" x14ac:dyDescent="0.35">
      <c r="A34" t="str">
        <v>TermoNew</v>
      </c>
      <c r="B34">
        <v>32</v>
      </c>
      <c r="C34">
        <f>VLOOKUP(Format1!C33,Labels!$H$3:$I$92,2,FALSE) + 100</f>
        <v>100</v>
      </c>
      <c r="D34">
        <f>VLOOKUP(Format1!D33,Labels!$H$3:$I$92,2,FALSE) + 100</f>
        <v>100</v>
      </c>
      <c r="E34">
        <f>VLOOKUP(Format1!E33,Labels!$H$3:$I$92,2,FALSE) + 100</f>
        <v>173</v>
      </c>
      <c r="F34">
        <f>VLOOKUP(Format1!F33,Labels!$H$3:$I$92,2,FALSE) + 100</f>
        <v>100</v>
      </c>
      <c r="G34">
        <f>VLOOKUP(Format1!G33,Labels!$H$3:$I$92,2,FALSE) + 100</f>
        <v>100</v>
      </c>
      <c r="H34">
        <f>VLOOKUP(Format1!H33,Labels!$H$3:$I$92,2,FALSE) + 100</f>
        <v>100</v>
      </c>
      <c r="I34">
        <f>VLOOKUP(Format1!I33,Labels!$H$3:$I$92,2,FALSE) + 100</f>
        <v>100</v>
      </c>
      <c r="J34">
        <f>VLOOKUP(Format1!J33,Labels!$H$3:$I$92,2,FALSE) + 100</f>
        <v>100</v>
      </c>
      <c r="K34">
        <f>VLOOKUP(Format1!K33,Labels!$H$3:$I$92,2,FALSE) + 100</f>
        <v>173</v>
      </c>
      <c r="L34">
        <f>VLOOKUP(Format1!L33,Labels!$H$3:$I$92,2,FALSE) + 100</f>
        <v>100</v>
      </c>
      <c r="M34">
        <f>VLOOKUP(Format1!M33,Labels!$H$3:$I$92,2,FALSE) + 100</f>
        <v>100</v>
      </c>
      <c r="N34">
        <f>VLOOKUP(Format1!N33,Labels!$H$3:$I$92,2,FALSE) + 100</f>
        <v>173</v>
      </c>
      <c r="O34">
        <f>VLOOKUP(Format1!O33,Labels!$H$3:$I$92,2,FALSE) + 100</f>
        <v>100</v>
      </c>
      <c r="P34">
        <f>VLOOKUP(Format1!P33,Labels!$H$3:$I$92,2,FALSE) + 100</f>
        <v>173</v>
      </c>
      <c r="Q34">
        <f>VLOOKUP(Format1!Q33,Labels!$H$3:$I$92,2,FALSE) + 100</f>
        <v>173</v>
      </c>
      <c r="R34">
        <f>VLOOKUP(Format1!R33,Labels!$H$3:$I$92,2,FALSE) + 100</f>
        <v>100</v>
      </c>
      <c r="S34">
        <f>VLOOKUP(Format1!S33,Labels!$H$3:$I$92,2,FALSE) + 100</f>
        <v>100</v>
      </c>
      <c r="T34">
        <f>VLOOKUP(Format1!T33,Labels!$H$3:$I$92,2,FALSE) + 100</f>
        <v>100</v>
      </c>
      <c r="U34">
        <f>VLOOKUP(Format1!U33,Labels!$H$3:$I$92,2,FALSE) + 100</f>
        <v>100</v>
      </c>
      <c r="V34">
        <f>VLOOKUP(Format1!V33,Labels!$H$3:$I$92,2,FALSE) + 100</f>
        <v>100</v>
      </c>
      <c r="W34">
        <f>VLOOKUP(Format1!W33,Labels!$H$3:$I$92,2,FALSE) + 100</f>
        <v>100</v>
      </c>
      <c r="X34">
        <f>VLOOKUP(Format1!X33,Labels!$H$3:$I$92,2,FALSE) + 100</f>
        <v>100</v>
      </c>
      <c r="Y34">
        <f>VLOOKUP(Format1!Y33,Labels!$H$3:$I$92,2,FALSE) + 100</f>
        <v>100</v>
      </c>
      <c r="Z34">
        <f>VLOOKUP(Format1!Z33,Labels!$H$3:$I$92,2,FALSE) + 100</f>
        <v>100</v>
      </c>
      <c r="AA34">
        <f>VLOOKUP(Format1!AA33,Labels!$H$3:$I$92,2,FALSE) + 100</f>
        <v>100</v>
      </c>
      <c r="AB34">
        <f>VLOOKUP(Format1!AB33,Labels!$H$3:$I$92,2,FALSE) + 100</f>
        <v>100</v>
      </c>
      <c r="AC34">
        <f>VLOOKUP(Format1!AC33,Labels!$H$3:$I$92,2,FALSE) + 100</f>
        <v>173</v>
      </c>
      <c r="AD34">
        <f>VLOOKUP(Format1!AD33,Labels!$H$3:$I$92,2,FALSE) + 100</f>
        <v>100</v>
      </c>
      <c r="AE34">
        <f>VLOOKUP(Format1!AE33,Labels!$H$3:$I$92,2,FALSE) + 100</f>
        <v>100</v>
      </c>
      <c r="AF34">
        <f>VLOOKUP(Format1!AF33,Labels!$H$3:$I$92,2,FALSE) + 100</f>
        <v>173</v>
      </c>
      <c r="AG34">
        <f>VLOOKUP(Format1!AG33,Labels!$H$3:$I$92,2,FALSE) + 100</f>
        <v>100</v>
      </c>
      <c r="AH34">
        <f>VLOOKUP(Format1!AH33,Labels!$H$3:$I$92,2,FALSE) + 100</f>
        <v>100</v>
      </c>
      <c r="AI34">
        <f>VLOOKUP(Format1!AI33,Labels!$H$3:$I$92,2,FALSE) + 100</f>
        <v>173</v>
      </c>
      <c r="AJ34">
        <f>VLOOKUP(Format1!AJ33,Labels!$H$3:$I$92,2,FALSE) + 100</f>
        <v>173</v>
      </c>
      <c r="AK34">
        <f>VLOOKUP(Format1!AK33,Labels!$H$3:$I$92,2,FALSE) + 100</f>
        <v>100</v>
      </c>
      <c r="AL34">
        <f>VLOOKUP(Format1!AL33,Labels!$H$3:$I$92,2,FALSE) + 100</f>
        <v>100</v>
      </c>
      <c r="AM34">
        <f>VLOOKUP(Format1!AM33,Labels!$H$3:$I$92,2,FALSE) + 100</f>
        <v>100</v>
      </c>
      <c r="AN34">
        <f>VLOOKUP(Format1!AN33,Labels!$H$3:$I$92,2,FALSE) + 100</f>
        <v>173</v>
      </c>
      <c r="AO34">
        <f>VLOOKUP(Format1!AO33,Labels!$H$3:$I$92,2,FALSE) + 100</f>
        <v>173</v>
      </c>
      <c r="AP34">
        <f>VLOOKUP(Format1!AP33,Labels!$H$3:$I$92,2,FALSE) + 100</f>
        <v>173</v>
      </c>
      <c r="AQ34">
        <f>VLOOKUP(Format1!AQ33,Labels!$H$3:$I$92,2,FALSE) + 100</f>
        <v>173</v>
      </c>
      <c r="AR34">
        <f>VLOOKUP(Format1!AR33,Labels!$H$3:$I$92,2,FALSE) + 100</f>
        <v>173</v>
      </c>
      <c r="AS34">
        <f>VLOOKUP(Format1!AS33,Labels!$H$3:$I$92,2,FALSE) + 100</f>
        <v>173</v>
      </c>
      <c r="AT34">
        <f>VLOOKUP(Format1!AT33,Labels!$H$3:$I$92,2,FALSE) + 100</f>
        <v>173</v>
      </c>
      <c r="AU34">
        <f>VLOOKUP(Format1!AU33,Labels!$H$3:$I$92,2,FALSE) + 100</f>
        <v>173</v>
      </c>
      <c r="AV34">
        <f>VLOOKUP(Format1!AV33,Labels!$H$3:$I$92,2,FALSE) + 100</f>
        <v>169</v>
      </c>
      <c r="AW34">
        <f>VLOOKUP(Format1!AW33,Labels!$H$3:$I$92,2,FALSE) + 100</f>
        <v>170</v>
      </c>
      <c r="AX34">
        <f>VLOOKUP(Format1!AX33,Labels!$H$3:$I$92,2,FALSE) + 100</f>
        <v>171</v>
      </c>
      <c r="AY34">
        <f>VLOOKUP(Format1!AY33,Labels!$H$3:$I$92,2,FALSE) + 100</f>
        <v>172</v>
      </c>
      <c r="AZ34">
        <f>VLOOKUP(Format1!AZ33,Labels!$H$3:$I$92,2,FALSE) + 100</f>
        <v>100</v>
      </c>
      <c r="BA34">
        <f>VLOOKUP(Format1!BA33,Labels!$H$3:$I$92,2,FALSE) + 100</f>
        <v>100</v>
      </c>
      <c r="BB34">
        <f>VLOOKUP(Format1!BB33,Labels!$H$3:$I$92,2,FALSE) + 100</f>
        <v>100</v>
      </c>
      <c r="BC34">
        <f>VLOOKUP(Format1!BC33,Labels!$H$3:$I$92,2,FALSE) + 100</f>
        <v>100</v>
      </c>
      <c r="BD34">
        <f>VLOOKUP(Format1!BD33,Labels!$H$3:$I$92,2,FALSE) + 100</f>
        <v>100</v>
      </c>
      <c r="BE34">
        <f>VLOOKUP(Format1!BE33,Labels!$H$3:$I$92,2,FALSE) + 100</f>
        <v>100</v>
      </c>
    </row>
    <row r="35" spans="1:57" x14ac:dyDescent="0.35">
      <c r="A35" t="str">
        <v>Fator</v>
      </c>
      <c r="B35">
        <v>33</v>
      </c>
      <c r="C35">
        <f>VLOOKUP(Format1!C34,Labels!$H$3:$I$92,2,FALSE) + 100</f>
        <v>100</v>
      </c>
      <c r="D35">
        <f>VLOOKUP(Format1!D34,Labels!$H$3:$I$92,2,FALSE) + 100</f>
        <v>181</v>
      </c>
      <c r="E35">
        <f>VLOOKUP(Format1!E34,Labels!$H$3:$I$92,2,FALSE) + 100</f>
        <v>100</v>
      </c>
      <c r="F35">
        <f>VLOOKUP(Format1!F34,Labels!$H$3:$I$92,2,FALSE) + 100</f>
        <v>100</v>
      </c>
      <c r="G35">
        <f>VLOOKUP(Format1!G34,Labels!$H$3:$I$92,2,FALSE) + 100</f>
        <v>100</v>
      </c>
      <c r="H35">
        <f>VLOOKUP(Format1!H34,Labels!$H$3:$I$92,2,FALSE) + 100</f>
        <v>100</v>
      </c>
      <c r="I35">
        <f>VLOOKUP(Format1!I34,Labels!$H$3:$I$92,2,FALSE) + 100</f>
        <v>100</v>
      </c>
      <c r="J35">
        <f>VLOOKUP(Format1!J34,Labels!$H$3:$I$92,2,FALSE) + 100</f>
        <v>174</v>
      </c>
      <c r="K35">
        <f>VLOOKUP(Format1!K34,Labels!$H$3:$I$92,2,FALSE) + 100</f>
        <v>100</v>
      </c>
      <c r="L35">
        <f>VLOOKUP(Format1!L34,Labels!$H$3:$I$92,2,FALSE) + 100</f>
        <v>100</v>
      </c>
      <c r="M35">
        <f>VLOOKUP(Format1!M34,Labels!$H$3:$I$92,2,FALSE) + 100</f>
        <v>100</v>
      </c>
      <c r="N35">
        <f>VLOOKUP(Format1!N34,Labels!$H$3:$I$92,2,FALSE) + 100</f>
        <v>100</v>
      </c>
      <c r="O35">
        <f>VLOOKUP(Format1!O34,Labels!$H$3:$I$92,2,FALSE) + 100</f>
        <v>100</v>
      </c>
      <c r="P35">
        <f>VLOOKUP(Format1!P34,Labels!$H$3:$I$92,2,FALSE) + 100</f>
        <v>100</v>
      </c>
      <c r="Q35">
        <f>VLOOKUP(Format1!Q34,Labels!$H$3:$I$92,2,FALSE) + 100</f>
        <v>100</v>
      </c>
      <c r="R35">
        <f>VLOOKUP(Format1!R34,Labels!$H$3:$I$92,2,FALSE) + 100</f>
        <v>100</v>
      </c>
      <c r="S35">
        <f>VLOOKUP(Format1!S34,Labels!$H$3:$I$92,2,FALSE) + 100</f>
        <v>100</v>
      </c>
      <c r="T35">
        <f>VLOOKUP(Format1!T34,Labels!$H$3:$I$92,2,FALSE) + 100</f>
        <v>176</v>
      </c>
      <c r="U35">
        <f>VLOOKUP(Format1!U34,Labels!$H$3:$I$92,2,FALSE) + 100</f>
        <v>100</v>
      </c>
      <c r="V35">
        <f>VLOOKUP(Format1!V34,Labels!$H$3:$I$92,2,FALSE) + 100</f>
        <v>100</v>
      </c>
      <c r="W35">
        <f>VLOOKUP(Format1!W34,Labels!$H$3:$I$92,2,FALSE) + 100</f>
        <v>100</v>
      </c>
      <c r="X35">
        <f>VLOOKUP(Format1!X34,Labels!$H$3:$I$92,2,FALSE) + 100</f>
        <v>100</v>
      </c>
      <c r="Y35">
        <f>VLOOKUP(Format1!Y34,Labels!$H$3:$I$92,2,FALSE) + 100</f>
        <v>100</v>
      </c>
      <c r="Z35">
        <f>VLOOKUP(Format1!Z34,Labels!$H$3:$I$92,2,FALSE) + 100</f>
        <v>100</v>
      </c>
      <c r="AA35">
        <f>VLOOKUP(Format1!AA34,Labels!$H$3:$I$92,2,FALSE) + 100</f>
        <v>100</v>
      </c>
      <c r="AB35">
        <f>VLOOKUP(Format1!AB34,Labels!$H$3:$I$92,2,FALSE) + 100</f>
        <v>100</v>
      </c>
      <c r="AC35">
        <f>VLOOKUP(Format1!AC34,Labels!$H$3:$I$92,2,FALSE) + 100</f>
        <v>100</v>
      </c>
      <c r="AD35">
        <f>VLOOKUP(Format1!AD34,Labels!$H$3:$I$92,2,FALSE) + 100</f>
        <v>100</v>
      </c>
      <c r="AE35">
        <f>VLOOKUP(Format1!AE34,Labels!$H$3:$I$92,2,FALSE) + 100</f>
        <v>100</v>
      </c>
      <c r="AF35">
        <f>VLOOKUP(Format1!AF34,Labels!$H$3:$I$92,2,FALSE) + 100</f>
        <v>100</v>
      </c>
      <c r="AG35">
        <f>VLOOKUP(Format1!AG34,Labels!$H$3:$I$92,2,FALSE) + 100</f>
        <v>100</v>
      </c>
      <c r="AH35">
        <f>VLOOKUP(Format1!AH34,Labels!$H$3:$I$92,2,FALSE) + 100</f>
        <v>100</v>
      </c>
      <c r="AI35">
        <f>VLOOKUP(Format1!AI34,Labels!$H$3:$I$92,2,FALSE) + 100</f>
        <v>100</v>
      </c>
      <c r="AJ35">
        <f>VLOOKUP(Format1!AJ34,Labels!$H$3:$I$92,2,FALSE) + 100</f>
        <v>100</v>
      </c>
      <c r="AK35">
        <f>VLOOKUP(Format1!AK34,Labels!$H$3:$I$92,2,FALSE) + 100</f>
        <v>100</v>
      </c>
      <c r="AL35">
        <f>VLOOKUP(Format1!AL34,Labels!$H$3:$I$92,2,FALSE) + 100</f>
        <v>100</v>
      </c>
      <c r="AM35">
        <f>VLOOKUP(Format1!AM34,Labels!$H$3:$I$92,2,FALSE) + 100</f>
        <v>100</v>
      </c>
      <c r="AN35">
        <f>VLOOKUP(Format1!AN34,Labels!$H$3:$I$92,2,FALSE) + 100</f>
        <v>100</v>
      </c>
      <c r="AO35">
        <f>VLOOKUP(Format1!AO34,Labels!$H$3:$I$92,2,FALSE) + 100</f>
        <v>100</v>
      </c>
      <c r="AP35">
        <f>VLOOKUP(Format1!AP34,Labels!$H$3:$I$92,2,FALSE) + 100</f>
        <v>100</v>
      </c>
      <c r="AQ35">
        <f>VLOOKUP(Format1!AQ34,Labels!$H$3:$I$92,2,FALSE) + 100</f>
        <v>100</v>
      </c>
      <c r="AR35">
        <f>VLOOKUP(Format1!AR34,Labels!$H$3:$I$92,2,FALSE) + 100</f>
        <v>100</v>
      </c>
      <c r="AS35">
        <f>VLOOKUP(Format1!AS34,Labels!$H$3:$I$92,2,FALSE) + 100</f>
        <v>100</v>
      </c>
      <c r="AT35">
        <f>VLOOKUP(Format1!AT34,Labels!$H$3:$I$92,2,FALSE) + 100</f>
        <v>100</v>
      </c>
      <c r="AU35">
        <f>VLOOKUP(Format1!AU34,Labels!$H$3:$I$92,2,FALSE) + 100</f>
        <v>100</v>
      </c>
      <c r="AV35">
        <f>VLOOKUP(Format1!AV34,Labels!$H$3:$I$92,2,FALSE) + 100</f>
        <v>100</v>
      </c>
      <c r="AW35">
        <f>VLOOKUP(Format1!AW34,Labels!$H$3:$I$92,2,FALSE) + 100</f>
        <v>100</v>
      </c>
      <c r="AX35">
        <f>VLOOKUP(Format1!AX34,Labels!$H$3:$I$92,2,FALSE) + 100</f>
        <v>100</v>
      </c>
      <c r="AY35">
        <f>VLOOKUP(Format1!AY34,Labels!$H$3:$I$92,2,FALSE) + 100</f>
        <v>100</v>
      </c>
      <c r="AZ35">
        <f>VLOOKUP(Format1!AZ34,Labels!$H$3:$I$92,2,FALSE) + 100</f>
        <v>175</v>
      </c>
      <c r="BA35">
        <f>VLOOKUP(Format1!BA34,Labels!$H$3:$I$92,2,FALSE) + 100</f>
        <v>177</v>
      </c>
      <c r="BB35">
        <f>VLOOKUP(Format1!BB34,Labels!$H$3:$I$92,2,FALSE) + 100</f>
        <v>178</v>
      </c>
      <c r="BC35">
        <f>VLOOKUP(Format1!BC34,Labels!$H$3:$I$92,2,FALSE) + 100</f>
        <v>179</v>
      </c>
      <c r="BD35">
        <f>VLOOKUP(Format1!BD34,Labels!$H$3:$I$92,2,FALSE) + 100</f>
        <v>180</v>
      </c>
      <c r="BE35">
        <f>VLOOKUP(Format1!BE34,Labels!$H$3:$I$92,2,FALSE) + 100</f>
        <v>100</v>
      </c>
    </row>
    <row r="36" spans="1:57" x14ac:dyDescent="0.35">
      <c r="A36" t="str">
        <v>IdentifierVariable</v>
      </c>
      <c r="B36">
        <v>34</v>
      </c>
      <c r="C36">
        <f>VLOOKUP(Format1!C35,Labels!$H$3:$I$92,2,FALSE) + 100</f>
        <v>100</v>
      </c>
      <c r="D36">
        <f>VLOOKUP(Format1!D35,Labels!$H$3:$I$92,2,FALSE) + 100</f>
        <v>100</v>
      </c>
      <c r="E36">
        <f>VLOOKUP(Format1!E35,Labels!$H$3:$I$92,2,FALSE) + 100</f>
        <v>183</v>
      </c>
      <c r="F36">
        <f>VLOOKUP(Format1!F35,Labels!$H$3:$I$92,2,FALSE) + 100</f>
        <v>100</v>
      </c>
      <c r="G36">
        <f>VLOOKUP(Format1!G35,Labels!$H$3:$I$92,2,FALSE) + 100</f>
        <v>100</v>
      </c>
      <c r="H36">
        <f>VLOOKUP(Format1!H35,Labels!$H$3:$I$92,2,FALSE) + 100</f>
        <v>100</v>
      </c>
      <c r="I36">
        <f>VLOOKUP(Format1!I35,Labels!$H$3:$I$92,2,FALSE) + 100</f>
        <v>100</v>
      </c>
      <c r="J36">
        <f>VLOOKUP(Format1!J35,Labels!$H$3:$I$92,2,FALSE) + 100</f>
        <v>182</v>
      </c>
      <c r="K36">
        <f>VLOOKUP(Format1!K35,Labels!$H$3:$I$92,2,FALSE) + 100</f>
        <v>183</v>
      </c>
      <c r="L36">
        <f>VLOOKUP(Format1!L35,Labels!$H$3:$I$92,2,FALSE) + 100</f>
        <v>100</v>
      </c>
      <c r="M36">
        <f>VLOOKUP(Format1!M35,Labels!$H$3:$I$92,2,FALSE) + 100</f>
        <v>100</v>
      </c>
      <c r="N36">
        <f>VLOOKUP(Format1!N35,Labels!$H$3:$I$92,2,FALSE) + 100</f>
        <v>183</v>
      </c>
      <c r="O36">
        <f>VLOOKUP(Format1!O35,Labels!$H$3:$I$92,2,FALSE) + 100</f>
        <v>183</v>
      </c>
      <c r="P36">
        <f>VLOOKUP(Format1!P35,Labels!$H$3:$I$92,2,FALSE) + 100</f>
        <v>183</v>
      </c>
      <c r="Q36">
        <f>VLOOKUP(Format1!Q35,Labels!$H$3:$I$92,2,FALSE) + 100</f>
        <v>183</v>
      </c>
      <c r="R36">
        <f>VLOOKUP(Format1!R35,Labels!$H$3:$I$92,2,FALSE) + 100</f>
        <v>100</v>
      </c>
      <c r="S36">
        <f>VLOOKUP(Format1!S35,Labels!$H$3:$I$92,2,FALSE) + 100</f>
        <v>100</v>
      </c>
      <c r="T36">
        <f>VLOOKUP(Format1!T35,Labels!$H$3:$I$92,2,FALSE) + 100</f>
        <v>100</v>
      </c>
      <c r="U36">
        <f>VLOOKUP(Format1!U35,Labels!$H$3:$I$92,2,FALSE) + 100</f>
        <v>100</v>
      </c>
      <c r="V36">
        <f>VLOOKUP(Format1!V35,Labels!$H$3:$I$92,2,FALSE) + 100</f>
        <v>100</v>
      </c>
      <c r="W36">
        <f>VLOOKUP(Format1!W35,Labels!$H$3:$I$92,2,FALSE) + 100</f>
        <v>100</v>
      </c>
      <c r="X36">
        <f>VLOOKUP(Format1!X35,Labels!$H$3:$I$92,2,FALSE) + 100</f>
        <v>100</v>
      </c>
      <c r="Y36">
        <f>VLOOKUP(Format1!Y35,Labels!$H$3:$I$92,2,FALSE) + 100</f>
        <v>100</v>
      </c>
      <c r="Z36">
        <f>VLOOKUP(Format1!Z35,Labels!$H$3:$I$92,2,FALSE) + 100</f>
        <v>100</v>
      </c>
      <c r="AA36">
        <f>VLOOKUP(Format1!AA35,Labels!$H$3:$I$92,2,FALSE) + 100</f>
        <v>100</v>
      </c>
      <c r="AB36">
        <f>VLOOKUP(Format1!AB35,Labels!$H$3:$I$92,2,FALSE) + 100</f>
        <v>100</v>
      </c>
      <c r="AC36">
        <f>VLOOKUP(Format1!AC35,Labels!$H$3:$I$92,2,FALSE) + 100</f>
        <v>183</v>
      </c>
      <c r="AD36">
        <f>VLOOKUP(Format1!AD35,Labels!$H$3:$I$92,2,FALSE) + 100</f>
        <v>100</v>
      </c>
      <c r="AE36">
        <f>VLOOKUP(Format1!AE35,Labels!$H$3:$I$92,2,FALSE) + 100</f>
        <v>100</v>
      </c>
      <c r="AF36">
        <f>VLOOKUP(Format1!AF35,Labels!$H$3:$I$92,2,FALSE) + 100</f>
        <v>183</v>
      </c>
      <c r="AG36">
        <f>VLOOKUP(Format1!AG35,Labels!$H$3:$I$92,2,FALSE) + 100</f>
        <v>100</v>
      </c>
      <c r="AH36">
        <f>VLOOKUP(Format1!AH35,Labels!$H$3:$I$92,2,FALSE) + 100</f>
        <v>100</v>
      </c>
      <c r="AI36">
        <f>VLOOKUP(Format1!AI35,Labels!$H$3:$I$92,2,FALSE) + 100</f>
        <v>183</v>
      </c>
      <c r="AJ36">
        <f>VLOOKUP(Format1!AJ35,Labels!$H$3:$I$92,2,FALSE) + 100</f>
        <v>183</v>
      </c>
      <c r="AK36">
        <f>VLOOKUP(Format1!AK35,Labels!$H$3:$I$92,2,FALSE) + 100</f>
        <v>100</v>
      </c>
      <c r="AL36">
        <f>VLOOKUP(Format1!AL35,Labels!$H$3:$I$92,2,FALSE) + 100</f>
        <v>100</v>
      </c>
      <c r="AM36">
        <f>VLOOKUP(Format1!AM35,Labels!$H$3:$I$92,2,FALSE) + 100</f>
        <v>100</v>
      </c>
      <c r="AN36">
        <f>VLOOKUP(Format1!AN35,Labels!$H$3:$I$92,2,FALSE) + 100</f>
        <v>183</v>
      </c>
      <c r="AO36">
        <f>VLOOKUP(Format1!AO35,Labels!$H$3:$I$92,2,FALSE) + 100</f>
        <v>183</v>
      </c>
      <c r="AP36">
        <f>VLOOKUP(Format1!AP35,Labels!$H$3:$I$92,2,FALSE) + 100</f>
        <v>183</v>
      </c>
      <c r="AQ36">
        <f>VLOOKUP(Format1!AQ35,Labels!$H$3:$I$92,2,FALSE) + 100</f>
        <v>183</v>
      </c>
      <c r="AR36">
        <f>VLOOKUP(Format1!AR35,Labels!$H$3:$I$92,2,FALSE) + 100</f>
        <v>183</v>
      </c>
      <c r="AS36">
        <f>VLOOKUP(Format1!AS35,Labels!$H$3:$I$92,2,FALSE) + 100</f>
        <v>183</v>
      </c>
      <c r="AT36">
        <f>VLOOKUP(Format1!AT35,Labels!$H$3:$I$92,2,FALSE) + 100</f>
        <v>183</v>
      </c>
      <c r="AU36">
        <f>VLOOKUP(Format1!AU35,Labels!$H$3:$I$92,2,FALSE) + 100</f>
        <v>183</v>
      </c>
      <c r="AV36">
        <f>VLOOKUP(Format1!AV35,Labels!$H$3:$I$92,2,FALSE) + 100</f>
        <v>183</v>
      </c>
      <c r="AW36">
        <f>VLOOKUP(Format1!AW35,Labels!$H$3:$I$92,2,FALSE) + 100</f>
        <v>183</v>
      </c>
      <c r="AX36">
        <f>VLOOKUP(Format1!AX35,Labels!$H$3:$I$92,2,FALSE) + 100</f>
        <v>183</v>
      </c>
      <c r="AY36">
        <f>VLOOKUP(Format1!AY35,Labels!$H$3:$I$92,2,FALSE) + 100</f>
        <v>183</v>
      </c>
      <c r="AZ36">
        <f>VLOOKUP(Format1!AZ35,Labels!$H$3:$I$92,2,FALSE) + 100</f>
        <v>100</v>
      </c>
      <c r="BA36">
        <f>VLOOKUP(Format1!BA35,Labels!$H$3:$I$92,2,FALSE) + 100</f>
        <v>100</v>
      </c>
      <c r="BB36">
        <f>VLOOKUP(Format1!BB35,Labels!$H$3:$I$92,2,FALSE) + 100</f>
        <v>100</v>
      </c>
      <c r="BC36">
        <f>VLOOKUP(Format1!BC35,Labels!$H$3:$I$92,2,FALSE) + 100</f>
        <v>100</v>
      </c>
      <c r="BD36">
        <f>VLOOKUP(Format1!BD35,Labels!$H$3:$I$92,2,FALSE) + 100</f>
        <v>100</v>
      </c>
      <c r="BE36">
        <f>VLOOKUP(Format1!BE35,Labels!$H$3:$I$92,2,FALSE) + 100</f>
        <v>100</v>
      </c>
    </row>
    <row r="37" spans="1:57" x14ac:dyDescent="0.35">
      <c r="A37" t="str">
        <v>Variavel</v>
      </c>
      <c r="B37">
        <v>35</v>
      </c>
      <c r="C37">
        <f>VLOOKUP(Format1!C36,Labels!$H$3:$I$92,2,FALSE) + 100</f>
        <v>100</v>
      </c>
      <c r="D37">
        <f>VLOOKUP(Format1!D36,Labels!$H$3:$I$92,2,FALSE) + 100</f>
        <v>184</v>
      </c>
      <c r="E37">
        <f>VLOOKUP(Format1!E36,Labels!$H$3:$I$92,2,FALSE) + 100</f>
        <v>100</v>
      </c>
      <c r="F37">
        <f>VLOOKUP(Format1!F36,Labels!$H$3:$I$92,2,FALSE) + 100</f>
        <v>100</v>
      </c>
      <c r="G37">
        <f>VLOOKUP(Format1!G36,Labels!$H$3:$I$92,2,FALSE) + 100</f>
        <v>100</v>
      </c>
      <c r="H37">
        <f>VLOOKUP(Format1!H36,Labels!$H$3:$I$92,2,FALSE) + 100</f>
        <v>100</v>
      </c>
      <c r="I37">
        <f>VLOOKUP(Format1!I36,Labels!$H$3:$I$92,2,FALSE) + 100</f>
        <v>100</v>
      </c>
      <c r="J37">
        <f>VLOOKUP(Format1!J36,Labels!$H$3:$I$92,2,FALSE) + 100</f>
        <v>100</v>
      </c>
      <c r="K37">
        <f>VLOOKUP(Format1!K36,Labels!$H$3:$I$92,2,FALSE) + 100</f>
        <v>100</v>
      </c>
      <c r="L37">
        <f>VLOOKUP(Format1!L36,Labels!$H$3:$I$92,2,FALSE) + 100</f>
        <v>100</v>
      </c>
      <c r="M37">
        <f>VLOOKUP(Format1!M36,Labels!$H$3:$I$92,2,FALSE) + 100</f>
        <v>100</v>
      </c>
      <c r="N37">
        <f>VLOOKUP(Format1!N36,Labels!$H$3:$I$92,2,FALSE) + 100</f>
        <v>100</v>
      </c>
      <c r="O37">
        <f>VLOOKUP(Format1!O36,Labels!$H$3:$I$92,2,FALSE) + 100</f>
        <v>100</v>
      </c>
      <c r="P37">
        <f>VLOOKUP(Format1!P36,Labels!$H$3:$I$92,2,FALSE) + 100</f>
        <v>100</v>
      </c>
      <c r="Q37">
        <f>VLOOKUP(Format1!Q36,Labels!$H$3:$I$92,2,FALSE) + 100</f>
        <v>100</v>
      </c>
      <c r="R37">
        <f>VLOOKUP(Format1!R36,Labels!$H$3:$I$92,2,FALSE) + 100</f>
        <v>100</v>
      </c>
      <c r="S37">
        <f>VLOOKUP(Format1!S36,Labels!$H$3:$I$92,2,FALSE) + 100</f>
        <v>100</v>
      </c>
      <c r="T37">
        <f>VLOOKUP(Format1!T36,Labels!$H$3:$I$92,2,FALSE) + 100</f>
        <v>100</v>
      </c>
      <c r="U37">
        <f>VLOOKUP(Format1!U36,Labels!$H$3:$I$92,2,FALSE) + 100</f>
        <v>100</v>
      </c>
      <c r="V37">
        <f>VLOOKUP(Format1!V36,Labels!$H$3:$I$92,2,FALSE) + 100</f>
        <v>100</v>
      </c>
      <c r="W37">
        <f>VLOOKUP(Format1!W36,Labels!$H$3:$I$92,2,FALSE) + 100</f>
        <v>100</v>
      </c>
      <c r="X37">
        <f>VLOOKUP(Format1!X36,Labels!$H$3:$I$92,2,FALSE) + 100</f>
        <v>100</v>
      </c>
      <c r="Y37">
        <f>VLOOKUP(Format1!Y36,Labels!$H$3:$I$92,2,FALSE) + 100</f>
        <v>100</v>
      </c>
      <c r="Z37">
        <f>VLOOKUP(Format1!Z36,Labels!$H$3:$I$92,2,FALSE) + 100</f>
        <v>100</v>
      </c>
      <c r="AA37">
        <f>VLOOKUP(Format1!AA36,Labels!$H$3:$I$92,2,FALSE) + 100</f>
        <v>100</v>
      </c>
      <c r="AB37">
        <f>VLOOKUP(Format1!AB36,Labels!$H$3:$I$92,2,FALSE) + 100</f>
        <v>100</v>
      </c>
      <c r="AC37">
        <f>VLOOKUP(Format1!AC36,Labels!$H$3:$I$92,2,FALSE) + 100</f>
        <v>100</v>
      </c>
      <c r="AD37">
        <f>VLOOKUP(Format1!AD36,Labels!$H$3:$I$92,2,FALSE) + 100</f>
        <v>100</v>
      </c>
      <c r="AE37">
        <f>VLOOKUP(Format1!AE36,Labels!$H$3:$I$92,2,FALSE) + 100</f>
        <v>100</v>
      </c>
      <c r="AF37">
        <f>VLOOKUP(Format1!AF36,Labels!$H$3:$I$92,2,FALSE) + 100</f>
        <v>100</v>
      </c>
      <c r="AG37">
        <f>VLOOKUP(Format1!AG36,Labels!$H$3:$I$92,2,FALSE) + 100</f>
        <v>100</v>
      </c>
      <c r="AH37">
        <f>VLOOKUP(Format1!AH36,Labels!$H$3:$I$92,2,FALSE) + 100</f>
        <v>100</v>
      </c>
      <c r="AI37">
        <f>VLOOKUP(Format1!AI36,Labels!$H$3:$I$92,2,FALSE) + 100</f>
        <v>100</v>
      </c>
      <c r="AJ37">
        <f>VLOOKUP(Format1!AJ36,Labels!$H$3:$I$92,2,FALSE) + 100</f>
        <v>100</v>
      </c>
      <c r="AK37">
        <f>VLOOKUP(Format1!AK36,Labels!$H$3:$I$92,2,FALSE) + 100</f>
        <v>100</v>
      </c>
      <c r="AL37">
        <f>VLOOKUP(Format1!AL36,Labels!$H$3:$I$92,2,FALSE) + 100</f>
        <v>100</v>
      </c>
      <c r="AM37">
        <f>VLOOKUP(Format1!AM36,Labels!$H$3:$I$92,2,FALSE) + 100</f>
        <v>100</v>
      </c>
      <c r="AN37">
        <f>VLOOKUP(Format1!AN36,Labels!$H$3:$I$92,2,FALSE) + 100</f>
        <v>100</v>
      </c>
      <c r="AO37">
        <f>VLOOKUP(Format1!AO36,Labels!$H$3:$I$92,2,FALSE) + 100</f>
        <v>100</v>
      </c>
      <c r="AP37">
        <f>VLOOKUP(Format1!AP36,Labels!$H$3:$I$92,2,FALSE) + 100</f>
        <v>100</v>
      </c>
      <c r="AQ37">
        <f>VLOOKUP(Format1!AQ36,Labels!$H$3:$I$92,2,FALSE) + 100</f>
        <v>100</v>
      </c>
      <c r="AR37">
        <f>VLOOKUP(Format1!AR36,Labels!$H$3:$I$92,2,FALSE) + 100</f>
        <v>100</v>
      </c>
      <c r="AS37">
        <f>VLOOKUP(Format1!AS36,Labels!$H$3:$I$92,2,FALSE) + 100</f>
        <v>100</v>
      </c>
      <c r="AT37">
        <f>VLOOKUP(Format1!AT36,Labels!$H$3:$I$92,2,FALSE) + 100</f>
        <v>100</v>
      </c>
      <c r="AU37">
        <f>VLOOKUP(Format1!AU36,Labels!$H$3:$I$92,2,FALSE) + 100</f>
        <v>100</v>
      </c>
      <c r="AV37">
        <f>VLOOKUP(Format1!AV36,Labels!$H$3:$I$92,2,FALSE) + 100</f>
        <v>100</v>
      </c>
      <c r="AW37">
        <f>VLOOKUP(Format1!AW36,Labels!$H$3:$I$92,2,FALSE) + 100</f>
        <v>100</v>
      </c>
      <c r="AX37">
        <f>VLOOKUP(Format1!AX36,Labels!$H$3:$I$92,2,FALSE) + 100</f>
        <v>100</v>
      </c>
      <c r="AY37">
        <f>VLOOKUP(Format1!AY36,Labels!$H$3:$I$92,2,FALSE) + 100</f>
        <v>100</v>
      </c>
      <c r="AZ37">
        <f>VLOOKUP(Format1!AZ36,Labels!$H$3:$I$92,2,FALSE) + 100</f>
        <v>100</v>
      </c>
      <c r="BA37">
        <f>VLOOKUP(Format1!BA36,Labels!$H$3:$I$92,2,FALSE) + 100</f>
        <v>100</v>
      </c>
      <c r="BB37">
        <f>VLOOKUP(Format1!BB36,Labels!$H$3:$I$92,2,FALSE) + 100</f>
        <v>100</v>
      </c>
      <c r="BC37">
        <f>VLOOKUP(Format1!BC36,Labels!$H$3:$I$92,2,FALSE) + 100</f>
        <v>100</v>
      </c>
      <c r="BD37">
        <f>VLOOKUP(Format1!BD36,Labels!$H$3:$I$92,2,FALSE) + 100</f>
        <v>100</v>
      </c>
      <c r="BE37">
        <f>VLOOKUP(Format1!BE36,Labels!$H$3:$I$92,2,FALSE) + 100</f>
        <v>100</v>
      </c>
    </row>
    <row r="38" spans="1:57" x14ac:dyDescent="0.35">
      <c r="A38" t="str">
        <v>VariableExp</v>
      </c>
      <c r="B38">
        <v>36</v>
      </c>
      <c r="C38">
        <f>VLOOKUP(Format1!C37,Labels!$H$3:$I$92,2,FALSE) + 100</f>
        <v>100</v>
      </c>
      <c r="D38">
        <f>VLOOKUP(Format1!D37,Labels!$H$3:$I$92,2,FALSE) + 100</f>
        <v>100</v>
      </c>
      <c r="E38">
        <f>VLOOKUP(Format1!E37,Labels!$H$3:$I$92,2,FALSE) + 100</f>
        <v>186</v>
      </c>
      <c r="F38">
        <f>VLOOKUP(Format1!F37,Labels!$H$3:$I$92,2,FALSE) + 100</f>
        <v>100</v>
      </c>
      <c r="G38">
        <f>VLOOKUP(Format1!G37,Labels!$H$3:$I$92,2,FALSE) + 100</f>
        <v>100</v>
      </c>
      <c r="H38">
        <f>VLOOKUP(Format1!H37,Labels!$H$3:$I$92,2,FALSE) + 100</f>
        <v>100</v>
      </c>
      <c r="I38">
        <f>VLOOKUP(Format1!I37,Labels!$H$3:$I$92,2,FALSE) + 100</f>
        <v>100</v>
      </c>
      <c r="J38">
        <f>VLOOKUP(Format1!J37,Labels!$H$3:$I$92,2,FALSE) + 100</f>
        <v>100</v>
      </c>
      <c r="K38">
        <f>VLOOKUP(Format1!K37,Labels!$H$3:$I$92,2,FALSE) + 100</f>
        <v>186</v>
      </c>
      <c r="L38">
        <f>VLOOKUP(Format1!L37,Labels!$H$3:$I$92,2,FALSE) + 100</f>
        <v>100</v>
      </c>
      <c r="M38">
        <f>VLOOKUP(Format1!M37,Labels!$H$3:$I$92,2,FALSE) + 100</f>
        <v>100</v>
      </c>
      <c r="N38">
        <f>VLOOKUP(Format1!N37,Labels!$H$3:$I$92,2,FALSE) + 100</f>
        <v>186</v>
      </c>
      <c r="O38">
        <f>VLOOKUP(Format1!O37,Labels!$H$3:$I$92,2,FALSE) + 100</f>
        <v>185</v>
      </c>
      <c r="P38">
        <f>VLOOKUP(Format1!P37,Labels!$H$3:$I$92,2,FALSE) + 100</f>
        <v>186</v>
      </c>
      <c r="Q38">
        <f>VLOOKUP(Format1!Q37,Labels!$H$3:$I$92,2,FALSE) + 100</f>
        <v>186</v>
      </c>
      <c r="R38">
        <f>VLOOKUP(Format1!R37,Labels!$H$3:$I$92,2,FALSE) + 100</f>
        <v>100</v>
      </c>
      <c r="S38">
        <f>VLOOKUP(Format1!S37,Labels!$H$3:$I$92,2,FALSE) + 100</f>
        <v>100</v>
      </c>
      <c r="T38">
        <f>VLOOKUP(Format1!T37,Labels!$H$3:$I$92,2,FALSE) + 100</f>
        <v>100</v>
      </c>
      <c r="U38">
        <f>VLOOKUP(Format1!U37,Labels!$H$3:$I$92,2,FALSE) + 100</f>
        <v>100</v>
      </c>
      <c r="V38">
        <f>VLOOKUP(Format1!V37,Labels!$H$3:$I$92,2,FALSE) + 100</f>
        <v>100</v>
      </c>
      <c r="W38">
        <f>VLOOKUP(Format1!W37,Labels!$H$3:$I$92,2,FALSE) + 100</f>
        <v>100</v>
      </c>
      <c r="X38">
        <f>VLOOKUP(Format1!X37,Labels!$H$3:$I$92,2,FALSE) + 100</f>
        <v>100</v>
      </c>
      <c r="Y38">
        <f>VLOOKUP(Format1!Y37,Labels!$H$3:$I$92,2,FALSE) + 100</f>
        <v>100</v>
      </c>
      <c r="Z38">
        <f>VLOOKUP(Format1!Z37,Labels!$H$3:$I$92,2,FALSE) + 100</f>
        <v>100</v>
      </c>
      <c r="AA38">
        <f>VLOOKUP(Format1!AA37,Labels!$H$3:$I$92,2,FALSE) + 100</f>
        <v>100</v>
      </c>
      <c r="AB38">
        <f>VLOOKUP(Format1!AB37,Labels!$H$3:$I$92,2,FALSE) + 100</f>
        <v>100</v>
      </c>
      <c r="AC38">
        <f>VLOOKUP(Format1!AC37,Labels!$H$3:$I$92,2,FALSE) + 100</f>
        <v>186</v>
      </c>
      <c r="AD38">
        <f>VLOOKUP(Format1!AD37,Labels!$H$3:$I$92,2,FALSE) + 100</f>
        <v>100</v>
      </c>
      <c r="AE38">
        <f>VLOOKUP(Format1!AE37,Labels!$H$3:$I$92,2,FALSE) + 100</f>
        <v>100</v>
      </c>
      <c r="AF38">
        <f>VLOOKUP(Format1!AF37,Labels!$H$3:$I$92,2,FALSE) + 100</f>
        <v>186</v>
      </c>
      <c r="AG38">
        <f>VLOOKUP(Format1!AG37,Labels!$H$3:$I$92,2,FALSE) + 100</f>
        <v>100</v>
      </c>
      <c r="AH38">
        <f>VLOOKUP(Format1!AH37,Labels!$H$3:$I$92,2,FALSE) + 100</f>
        <v>100</v>
      </c>
      <c r="AI38">
        <f>VLOOKUP(Format1!AI37,Labels!$H$3:$I$92,2,FALSE) + 100</f>
        <v>186</v>
      </c>
      <c r="AJ38">
        <f>VLOOKUP(Format1!AJ37,Labels!$H$3:$I$92,2,FALSE) + 100</f>
        <v>186</v>
      </c>
      <c r="AK38">
        <f>VLOOKUP(Format1!AK37,Labels!$H$3:$I$92,2,FALSE) + 100</f>
        <v>100</v>
      </c>
      <c r="AL38">
        <f>VLOOKUP(Format1!AL37,Labels!$H$3:$I$92,2,FALSE) + 100</f>
        <v>100</v>
      </c>
      <c r="AM38">
        <f>VLOOKUP(Format1!AM37,Labels!$H$3:$I$92,2,FALSE) + 100</f>
        <v>100</v>
      </c>
      <c r="AN38">
        <f>VLOOKUP(Format1!AN37,Labels!$H$3:$I$92,2,FALSE) + 100</f>
        <v>186</v>
      </c>
      <c r="AO38">
        <f>VLOOKUP(Format1!AO37,Labels!$H$3:$I$92,2,FALSE) + 100</f>
        <v>186</v>
      </c>
      <c r="AP38">
        <f>VLOOKUP(Format1!AP37,Labels!$H$3:$I$92,2,FALSE) + 100</f>
        <v>186</v>
      </c>
      <c r="AQ38">
        <f>VLOOKUP(Format1!AQ37,Labels!$H$3:$I$92,2,FALSE) + 100</f>
        <v>186</v>
      </c>
      <c r="AR38">
        <f>VLOOKUP(Format1!AR37,Labels!$H$3:$I$92,2,FALSE) + 100</f>
        <v>186</v>
      </c>
      <c r="AS38">
        <f>VLOOKUP(Format1!AS37,Labels!$H$3:$I$92,2,FALSE) + 100</f>
        <v>186</v>
      </c>
      <c r="AT38">
        <f>VLOOKUP(Format1!AT37,Labels!$H$3:$I$92,2,FALSE) + 100</f>
        <v>186</v>
      </c>
      <c r="AU38">
        <f>VLOOKUP(Format1!AU37,Labels!$H$3:$I$92,2,FALSE) + 100</f>
        <v>186</v>
      </c>
      <c r="AV38">
        <f>VLOOKUP(Format1!AV37,Labels!$H$3:$I$92,2,FALSE) + 100</f>
        <v>186</v>
      </c>
      <c r="AW38">
        <f>VLOOKUP(Format1!AW37,Labels!$H$3:$I$92,2,FALSE) + 100</f>
        <v>186</v>
      </c>
      <c r="AX38">
        <f>VLOOKUP(Format1!AX37,Labels!$H$3:$I$92,2,FALSE) + 100</f>
        <v>186</v>
      </c>
      <c r="AY38">
        <f>VLOOKUP(Format1!AY37,Labels!$H$3:$I$92,2,FALSE) + 100</f>
        <v>186</v>
      </c>
      <c r="AZ38">
        <f>VLOOKUP(Format1!AZ37,Labels!$H$3:$I$92,2,FALSE) + 100</f>
        <v>100</v>
      </c>
      <c r="BA38">
        <f>VLOOKUP(Format1!BA37,Labels!$H$3:$I$92,2,FALSE) + 100</f>
        <v>100</v>
      </c>
      <c r="BB38">
        <f>VLOOKUP(Format1!BB37,Labels!$H$3:$I$92,2,FALSE) + 100</f>
        <v>100</v>
      </c>
      <c r="BC38">
        <f>VLOOKUP(Format1!BC37,Labels!$H$3:$I$92,2,FALSE) + 100</f>
        <v>100</v>
      </c>
      <c r="BD38">
        <f>VLOOKUP(Format1!BD37,Labels!$H$3:$I$92,2,FALSE) + 100</f>
        <v>100</v>
      </c>
      <c r="BE38">
        <f>VLOOKUP(Format1!BE37,Labels!$H$3:$I$92,2,FALSE) + 100</f>
        <v>100</v>
      </c>
    </row>
    <row r="39" spans="1:57" x14ac:dyDescent="0.35">
      <c r="A39" t="str">
        <v>ExprIter</v>
      </c>
      <c r="B39">
        <v>37</v>
      </c>
      <c r="C39">
        <f>VLOOKUP(Format1!C38,Labels!$H$3:$I$92,2,FALSE) + 100</f>
        <v>100</v>
      </c>
      <c r="D39">
        <f>VLOOKUP(Format1!D38,Labels!$H$3:$I$92,2,FALSE) + 100</f>
        <v>187</v>
      </c>
      <c r="E39">
        <f>VLOOKUP(Format1!E38,Labels!$H$3:$I$92,2,FALSE) + 100</f>
        <v>100</v>
      </c>
      <c r="F39">
        <f>VLOOKUP(Format1!F38,Labels!$H$3:$I$92,2,FALSE) + 100</f>
        <v>100</v>
      </c>
      <c r="G39">
        <f>VLOOKUP(Format1!G38,Labels!$H$3:$I$92,2,FALSE) + 100</f>
        <v>100</v>
      </c>
      <c r="H39">
        <f>VLOOKUP(Format1!H38,Labels!$H$3:$I$92,2,FALSE) + 100</f>
        <v>100</v>
      </c>
      <c r="I39">
        <f>VLOOKUP(Format1!I38,Labels!$H$3:$I$92,2,FALSE) + 100</f>
        <v>100</v>
      </c>
      <c r="J39">
        <f>VLOOKUP(Format1!J38,Labels!$H$3:$I$92,2,FALSE) + 100</f>
        <v>187</v>
      </c>
      <c r="K39">
        <f>VLOOKUP(Format1!K38,Labels!$H$3:$I$92,2,FALSE) + 100</f>
        <v>187</v>
      </c>
      <c r="L39">
        <f>VLOOKUP(Format1!L38,Labels!$H$3:$I$92,2,FALSE) + 100</f>
        <v>100</v>
      </c>
      <c r="M39">
        <f>VLOOKUP(Format1!M38,Labels!$H$3:$I$92,2,FALSE) + 100</f>
        <v>100</v>
      </c>
      <c r="N39">
        <f>VLOOKUP(Format1!N38,Labels!$H$3:$I$92,2,FALSE) + 100</f>
        <v>187</v>
      </c>
      <c r="O39">
        <f>VLOOKUP(Format1!O38,Labels!$H$3:$I$92,2,FALSE) + 100</f>
        <v>100</v>
      </c>
      <c r="P39">
        <f>VLOOKUP(Format1!P38,Labels!$H$3:$I$92,2,FALSE) + 100</f>
        <v>187</v>
      </c>
      <c r="Q39">
        <f>VLOOKUP(Format1!Q38,Labels!$H$3:$I$92,2,FALSE) + 100</f>
        <v>187</v>
      </c>
      <c r="R39">
        <f>VLOOKUP(Format1!R38,Labels!$H$3:$I$92,2,FALSE) + 100</f>
        <v>100</v>
      </c>
      <c r="S39">
        <f>VLOOKUP(Format1!S38,Labels!$H$3:$I$92,2,FALSE) + 100</f>
        <v>100</v>
      </c>
      <c r="T39">
        <f>VLOOKUP(Format1!T38,Labels!$H$3:$I$92,2,FALSE) + 100</f>
        <v>187</v>
      </c>
      <c r="U39">
        <f>VLOOKUP(Format1!U38,Labels!$H$3:$I$92,2,FALSE) + 100</f>
        <v>100</v>
      </c>
      <c r="V39">
        <f>VLOOKUP(Format1!V38,Labels!$H$3:$I$92,2,FALSE) + 100</f>
        <v>100</v>
      </c>
      <c r="W39">
        <f>VLOOKUP(Format1!W38,Labels!$H$3:$I$92,2,FALSE) + 100</f>
        <v>100</v>
      </c>
      <c r="X39">
        <f>VLOOKUP(Format1!X38,Labels!$H$3:$I$92,2,FALSE) + 100</f>
        <v>100</v>
      </c>
      <c r="Y39">
        <f>VLOOKUP(Format1!Y38,Labels!$H$3:$I$92,2,FALSE) + 100</f>
        <v>100</v>
      </c>
      <c r="Z39">
        <f>VLOOKUP(Format1!Z38,Labels!$H$3:$I$92,2,FALSE) + 100</f>
        <v>100</v>
      </c>
      <c r="AA39">
        <f>VLOOKUP(Format1!AA38,Labels!$H$3:$I$92,2,FALSE) + 100</f>
        <v>100</v>
      </c>
      <c r="AB39">
        <f>VLOOKUP(Format1!AB38,Labels!$H$3:$I$92,2,FALSE) + 100</f>
        <v>100</v>
      </c>
      <c r="AC39">
        <f>VLOOKUP(Format1!AC38,Labels!$H$3:$I$92,2,FALSE) + 100</f>
        <v>100</v>
      </c>
      <c r="AD39">
        <f>VLOOKUP(Format1!AD38,Labels!$H$3:$I$92,2,FALSE) + 100</f>
        <v>100</v>
      </c>
      <c r="AE39">
        <f>VLOOKUP(Format1!AE38,Labels!$H$3:$I$92,2,FALSE) + 100</f>
        <v>100</v>
      </c>
      <c r="AF39">
        <f>VLOOKUP(Format1!AF38,Labels!$H$3:$I$92,2,FALSE) + 100</f>
        <v>100</v>
      </c>
      <c r="AG39">
        <f>VLOOKUP(Format1!AG38,Labels!$H$3:$I$92,2,FALSE) + 100</f>
        <v>100</v>
      </c>
      <c r="AH39">
        <f>VLOOKUP(Format1!AH38,Labels!$H$3:$I$92,2,FALSE) + 100</f>
        <v>100</v>
      </c>
      <c r="AI39">
        <f>VLOOKUP(Format1!AI38,Labels!$H$3:$I$92,2,FALSE) + 100</f>
        <v>100</v>
      </c>
      <c r="AJ39">
        <f>VLOOKUP(Format1!AJ38,Labels!$H$3:$I$92,2,FALSE) + 100</f>
        <v>100</v>
      </c>
      <c r="AK39">
        <f>VLOOKUP(Format1!AK38,Labels!$H$3:$I$92,2,FALSE) + 100</f>
        <v>100</v>
      </c>
      <c r="AL39">
        <f>VLOOKUP(Format1!AL38,Labels!$H$3:$I$92,2,FALSE) + 100</f>
        <v>100</v>
      </c>
      <c r="AM39">
        <f>VLOOKUP(Format1!AM38,Labels!$H$3:$I$92,2,FALSE) + 100</f>
        <v>100</v>
      </c>
      <c r="AN39">
        <f>VLOOKUP(Format1!AN38,Labels!$H$3:$I$92,2,FALSE) + 100</f>
        <v>187</v>
      </c>
      <c r="AO39">
        <f>VLOOKUP(Format1!AO38,Labels!$H$3:$I$92,2,FALSE) + 100</f>
        <v>187</v>
      </c>
      <c r="AP39">
        <f>VLOOKUP(Format1!AP38,Labels!$H$3:$I$92,2,FALSE) + 100</f>
        <v>187</v>
      </c>
      <c r="AQ39">
        <f>VLOOKUP(Format1!AQ38,Labels!$H$3:$I$92,2,FALSE) + 100</f>
        <v>187</v>
      </c>
      <c r="AR39">
        <f>VLOOKUP(Format1!AR38,Labels!$H$3:$I$92,2,FALSE) + 100</f>
        <v>187</v>
      </c>
      <c r="AS39">
        <f>VLOOKUP(Format1!AS38,Labels!$H$3:$I$92,2,FALSE) + 100</f>
        <v>187</v>
      </c>
      <c r="AT39">
        <f>VLOOKUP(Format1!AT38,Labels!$H$3:$I$92,2,FALSE) + 100</f>
        <v>187</v>
      </c>
      <c r="AU39">
        <f>VLOOKUP(Format1!AU38,Labels!$H$3:$I$92,2,FALSE) + 100</f>
        <v>100</v>
      </c>
      <c r="AV39">
        <f>VLOOKUP(Format1!AV38,Labels!$H$3:$I$92,2,FALSE) + 100</f>
        <v>100</v>
      </c>
      <c r="AW39">
        <f>VLOOKUP(Format1!AW38,Labels!$H$3:$I$92,2,FALSE) + 100</f>
        <v>100</v>
      </c>
      <c r="AX39">
        <f>VLOOKUP(Format1!AX38,Labels!$H$3:$I$92,2,FALSE) + 100</f>
        <v>100</v>
      </c>
      <c r="AY39">
        <f>VLOOKUP(Format1!AY38,Labels!$H$3:$I$92,2,FALSE) + 100</f>
        <v>100</v>
      </c>
      <c r="AZ39">
        <f>VLOOKUP(Format1!AZ38,Labels!$H$3:$I$92,2,FALSE) + 100</f>
        <v>187</v>
      </c>
      <c r="BA39">
        <f>VLOOKUP(Format1!BA38,Labels!$H$3:$I$92,2,FALSE) + 100</f>
        <v>187</v>
      </c>
      <c r="BB39">
        <f>VLOOKUP(Format1!BB38,Labels!$H$3:$I$92,2,FALSE) + 100</f>
        <v>187</v>
      </c>
      <c r="BC39">
        <f>VLOOKUP(Format1!BC38,Labels!$H$3:$I$92,2,FALSE) + 100</f>
        <v>187</v>
      </c>
      <c r="BD39">
        <f>VLOOKUP(Format1!BD38,Labels!$H$3:$I$92,2,FALSE) + 100</f>
        <v>187</v>
      </c>
      <c r="BE39">
        <f>VLOOKUP(Format1!BE38,Labels!$H$3:$I$92,2,FALSE) + 100</f>
        <v>100</v>
      </c>
    </row>
    <row r="40" spans="1:57" x14ac:dyDescent="0.35">
      <c r="A40" t="str">
        <v>ExprIterBonus</v>
      </c>
      <c r="B40">
        <v>38</v>
      </c>
      <c r="C40">
        <f>VLOOKUP(Format1!C39,Labels!$H$3:$I$92,2,FALSE) + 100</f>
        <v>100</v>
      </c>
      <c r="D40">
        <f>VLOOKUP(Format1!D39,Labels!$H$3:$I$92,2,FALSE) + 100</f>
        <v>100</v>
      </c>
      <c r="E40">
        <f>VLOOKUP(Format1!E39,Labels!$H$3:$I$92,2,FALSE) + 100</f>
        <v>100</v>
      </c>
      <c r="F40">
        <f>VLOOKUP(Format1!F39,Labels!$H$3:$I$92,2,FALSE) + 100</f>
        <v>100</v>
      </c>
      <c r="G40">
        <f>VLOOKUP(Format1!G39,Labels!$H$3:$I$92,2,FALSE) + 100</f>
        <v>100</v>
      </c>
      <c r="H40">
        <f>VLOOKUP(Format1!H39,Labels!$H$3:$I$92,2,FALSE) + 100</f>
        <v>100</v>
      </c>
      <c r="I40">
        <f>VLOOKUP(Format1!I39,Labels!$H$3:$I$92,2,FALSE) + 100</f>
        <v>100</v>
      </c>
      <c r="J40">
        <f>VLOOKUP(Format1!J39,Labels!$H$3:$I$92,2,FALSE) + 100</f>
        <v>100</v>
      </c>
      <c r="K40">
        <f>VLOOKUP(Format1!K39,Labels!$H$3:$I$92,2,FALSE) + 100</f>
        <v>189</v>
      </c>
      <c r="L40">
        <f>VLOOKUP(Format1!L39,Labels!$H$3:$I$92,2,FALSE) + 100</f>
        <v>100</v>
      </c>
      <c r="M40">
        <f>VLOOKUP(Format1!M39,Labels!$H$3:$I$92,2,FALSE) + 100</f>
        <v>100</v>
      </c>
      <c r="N40">
        <f>VLOOKUP(Format1!N39,Labels!$H$3:$I$92,2,FALSE) + 100</f>
        <v>100</v>
      </c>
      <c r="O40">
        <f>VLOOKUP(Format1!O39,Labels!$H$3:$I$92,2,FALSE) + 100</f>
        <v>100</v>
      </c>
      <c r="P40">
        <f>VLOOKUP(Format1!P39,Labels!$H$3:$I$92,2,FALSE) + 100</f>
        <v>189</v>
      </c>
      <c r="Q40">
        <f>VLOOKUP(Format1!Q39,Labels!$H$3:$I$92,2,FALSE) + 100</f>
        <v>188</v>
      </c>
      <c r="R40">
        <f>VLOOKUP(Format1!R39,Labels!$H$3:$I$92,2,FALSE) + 100</f>
        <v>100</v>
      </c>
      <c r="S40">
        <f>VLOOKUP(Format1!S39,Labels!$H$3:$I$92,2,FALSE) + 100</f>
        <v>100</v>
      </c>
      <c r="T40">
        <f>VLOOKUP(Format1!T39,Labels!$H$3:$I$92,2,FALSE) + 100</f>
        <v>100</v>
      </c>
      <c r="U40">
        <f>VLOOKUP(Format1!U39,Labels!$H$3:$I$92,2,FALSE) + 100</f>
        <v>100</v>
      </c>
      <c r="V40">
        <f>VLOOKUP(Format1!V39,Labels!$H$3:$I$92,2,FALSE) + 100</f>
        <v>100</v>
      </c>
      <c r="W40">
        <f>VLOOKUP(Format1!W39,Labels!$H$3:$I$92,2,FALSE) + 100</f>
        <v>100</v>
      </c>
      <c r="X40">
        <f>VLOOKUP(Format1!X39,Labels!$H$3:$I$92,2,FALSE) + 100</f>
        <v>100</v>
      </c>
      <c r="Y40">
        <f>VLOOKUP(Format1!Y39,Labels!$H$3:$I$92,2,FALSE) + 100</f>
        <v>100</v>
      </c>
      <c r="Z40">
        <f>VLOOKUP(Format1!Z39,Labels!$H$3:$I$92,2,FALSE) + 100</f>
        <v>100</v>
      </c>
      <c r="AA40">
        <f>VLOOKUP(Format1!AA39,Labels!$H$3:$I$92,2,FALSE) + 100</f>
        <v>100</v>
      </c>
      <c r="AB40">
        <f>VLOOKUP(Format1!AB39,Labels!$H$3:$I$92,2,FALSE) + 100</f>
        <v>100</v>
      </c>
      <c r="AC40">
        <f>VLOOKUP(Format1!AC39,Labels!$H$3:$I$92,2,FALSE) + 100</f>
        <v>100</v>
      </c>
      <c r="AD40">
        <f>VLOOKUP(Format1!AD39,Labels!$H$3:$I$92,2,FALSE) + 100</f>
        <v>100</v>
      </c>
      <c r="AE40">
        <f>VLOOKUP(Format1!AE39,Labels!$H$3:$I$92,2,FALSE) + 100</f>
        <v>100</v>
      </c>
      <c r="AF40">
        <f>VLOOKUP(Format1!AF39,Labels!$H$3:$I$92,2,FALSE) + 100</f>
        <v>100</v>
      </c>
      <c r="AG40">
        <f>VLOOKUP(Format1!AG39,Labels!$H$3:$I$92,2,FALSE) + 100</f>
        <v>100</v>
      </c>
      <c r="AH40">
        <f>VLOOKUP(Format1!AH39,Labels!$H$3:$I$92,2,FALSE) + 100</f>
        <v>100</v>
      </c>
      <c r="AI40">
        <f>VLOOKUP(Format1!AI39,Labels!$H$3:$I$92,2,FALSE) + 100</f>
        <v>100</v>
      </c>
      <c r="AJ40">
        <f>VLOOKUP(Format1!AJ39,Labels!$H$3:$I$92,2,FALSE) + 100</f>
        <v>100</v>
      </c>
      <c r="AK40">
        <f>VLOOKUP(Format1!AK39,Labels!$H$3:$I$92,2,FALSE) + 100</f>
        <v>100</v>
      </c>
      <c r="AL40">
        <f>VLOOKUP(Format1!AL39,Labels!$H$3:$I$92,2,FALSE) + 100</f>
        <v>100</v>
      </c>
      <c r="AM40">
        <f>VLOOKUP(Format1!AM39,Labels!$H$3:$I$92,2,FALSE) + 100</f>
        <v>100</v>
      </c>
      <c r="AN40">
        <f>VLOOKUP(Format1!AN39,Labels!$H$3:$I$92,2,FALSE) + 100</f>
        <v>100</v>
      </c>
      <c r="AO40">
        <f>VLOOKUP(Format1!AO39,Labels!$H$3:$I$92,2,FALSE) + 100</f>
        <v>100</v>
      </c>
      <c r="AP40">
        <f>VLOOKUP(Format1!AP39,Labels!$H$3:$I$92,2,FALSE) + 100</f>
        <v>100</v>
      </c>
      <c r="AQ40">
        <f>VLOOKUP(Format1!AQ39,Labels!$H$3:$I$92,2,FALSE) + 100</f>
        <v>100</v>
      </c>
      <c r="AR40">
        <f>VLOOKUP(Format1!AR39,Labels!$H$3:$I$92,2,FALSE) + 100</f>
        <v>100</v>
      </c>
      <c r="AS40">
        <f>VLOOKUP(Format1!AS39,Labels!$H$3:$I$92,2,FALSE) + 100</f>
        <v>100</v>
      </c>
      <c r="AT40">
        <f>VLOOKUP(Format1!AT39,Labels!$H$3:$I$92,2,FALSE) + 100</f>
        <v>100</v>
      </c>
      <c r="AU40">
        <f>VLOOKUP(Format1!AU39,Labels!$H$3:$I$92,2,FALSE) + 100</f>
        <v>100</v>
      </c>
      <c r="AV40">
        <f>VLOOKUP(Format1!AV39,Labels!$H$3:$I$92,2,FALSE) + 100</f>
        <v>100</v>
      </c>
      <c r="AW40">
        <f>VLOOKUP(Format1!AW39,Labels!$H$3:$I$92,2,FALSE) + 100</f>
        <v>100</v>
      </c>
      <c r="AX40">
        <f>VLOOKUP(Format1!AX39,Labels!$H$3:$I$92,2,FALSE) + 100</f>
        <v>100</v>
      </c>
      <c r="AY40">
        <f>VLOOKUP(Format1!AY39,Labels!$H$3:$I$92,2,FALSE) + 100</f>
        <v>100</v>
      </c>
      <c r="AZ40">
        <f>VLOOKUP(Format1!AZ39,Labels!$H$3:$I$92,2,FALSE) + 100</f>
        <v>100</v>
      </c>
      <c r="BA40">
        <f>VLOOKUP(Format1!BA39,Labels!$H$3:$I$92,2,FALSE) + 100</f>
        <v>100</v>
      </c>
      <c r="BB40">
        <f>VLOOKUP(Format1!BB39,Labels!$H$3:$I$92,2,FALSE) + 100</f>
        <v>100</v>
      </c>
      <c r="BC40">
        <f>VLOOKUP(Format1!BC39,Labels!$H$3:$I$92,2,FALSE) + 100</f>
        <v>100</v>
      </c>
      <c r="BD40">
        <f>VLOOKUP(Format1!BD39,Labels!$H$3:$I$92,2,FALSE) + 100</f>
        <v>100</v>
      </c>
      <c r="BE40">
        <f>VLOOKUP(Format1!BE39,Labels!$H$3:$I$92,2,FALSE) + 100</f>
        <v>100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LL1 Parser Table</vt:lpstr>
      <vt:lpstr>Format1</vt:lpstr>
      <vt:lpstr>Labels</vt:lpstr>
      <vt:lpstr>Format2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Pietsiaki</dc:creator>
  <cp:lastModifiedBy>Gabriel Pietsiaki</cp:lastModifiedBy>
  <dcterms:created xsi:type="dcterms:W3CDTF">2024-08-30T22:02:43Z</dcterms:created>
  <dcterms:modified xsi:type="dcterms:W3CDTF">2024-09-03T19:12:29Z</dcterms:modified>
</cp:coreProperties>
</file>